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_Statement by year" sheetId="1" r:id="rId4"/>
    <sheet state="visible" name="Pnl_Statement by months" sheetId="2" r:id="rId5"/>
    <sheet state="visible" name="PnL_Statement by country" sheetId="3" r:id="rId6"/>
    <sheet state="visible" name="Pnl_Statement by Sub Zone" sheetId="4" r:id="rId7"/>
  </sheets>
  <definedNames>
    <definedName localSheetId="1" name="Z_AB41B415_4D04_413C_BA83_6623F647C6A6_.wvu.PrintArea">'Pnl_Statement by months'!$A$6:$H$218</definedName>
    <definedName localSheetId="2" name="Z_AB41B415_4D04_413C_BA83_6623F647C6A6_.wvu.PrintArea">'PnL_Statement by country'!$A$4:$H$216</definedName>
    <definedName localSheetId="0" name="Z_AB41B415_4D04_413C_BA83_6623F647C6A6_.wvu.PrintArea">'Pnl_Statement by year'!$A$5:$H$217</definedName>
    <definedName localSheetId="3" name="Z_AB41B415_4D04_413C_BA83_6623F647C6A6_.wvu.PrintArea">'Pnl_Statement by Sub Zone'!$A$6:$H$218</definedName>
  </definedNames>
  <calcPr/>
  <extLst>
    <ext uri="GoogleSheetsCustomDataVersion2">
      <go:sheetsCustomData xmlns:go="http://customooxmlschemas.google.com/" r:id="rId8" roundtripDataChecksum="W42Zau5VC5hV5ey3uO9pjc6Y3WMhf1NQL2XkJtjkMCk="/>
    </ext>
  </extLst>
</workbook>
</file>

<file path=xl/sharedStrings.xml><?xml version="1.0" encoding="utf-8"?>
<sst xmlns="http://schemas.openxmlformats.org/spreadsheetml/2006/main" count="340" uniqueCount="80">
  <si>
    <t>Filters</t>
  </si>
  <si>
    <t>division</t>
  </si>
  <si>
    <t>All</t>
  </si>
  <si>
    <t>P &amp; L</t>
  </si>
  <si>
    <t>region</t>
  </si>
  <si>
    <t>By Fiscal Year</t>
  </si>
  <si>
    <t>customer</t>
  </si>
  <si>
    <t>All Values are In USD</t>
  </si>
  <si>
    <t>Note:21 vs 20 is not part of pivot table</t>
  </si>
  <si>
    <t>Fiscal year</t>
  </si>
  <si>
    <t>Customer</t>
  </si>
  <si>
    <t>2019</t>
  </si>
  <si>
    <t>2020</t>
  </si>
  <si>
    <t>2021</t>
  </si>
  <si>
    <t>21 vs 20</t>
  </si>
  <si>
    <t>Australia</t>
  </si>
  <si>
    <t>Net Sales</t>
  </si>
  <si>
    <t>COGS</t>
  </si>
  <si>
    <t>Gross Margin</t>
  </si>
  <si>
    <t>Gross%</t>
  </si>
  <si>
    <t>Austria</t>
  </si>
  <si>
    <t>Bangladesh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</si>
  <si>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</si>
  <si>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</si>
  <si>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</si>
  <si>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</si>
  <si>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</si>
  <si>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</si>
  <si>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</si>
  <si>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</si>
  <si>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</si>
  <si>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</si>
  <si>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</si>
  <si>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</si>
  <si>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</si>
  <si>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</si>
  <si>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</si>
  <si>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</si>
  <si>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</si>
  <si>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</si>
  <si>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</si>
  <si>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</si>
  <si>
    <t>market</t>
  </si>
  <si>
    <t>By Fiscal Months</t>
  </si>
  <si>
    <t>FY</t>
  </si>
  <si>
    <t>Note:Do not modify this pivot table</t>
  </si>
  <si>
    <t>Quarter</t>
  </si>
  <si>
    <t>Q1</t>
  </si>
  <si>
    <t>Q2</t>
  </si>
  <si>
    <t>Q3</t>
  </si>
  <si>
    <t>Q4</t>
  </si>
  <si>
    <t>Grand Total</t>
  </si>
  <si>
    <t>Matrics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</si>
  <si>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</si>
  <si>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</si>
  <si>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</si>
  <si>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</si>
  <si>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</si>
  <si>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</si>
  <si>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</si>
  <si>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</si>
  <si>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</si>
  <si>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</si>
  <si>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</si>
  <si>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</si>
  <si>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Net Sale Comparison</t>
  </si>
  <si>
    <t>20 vs 19</t>
  </si>
  <si>
    <t>Market</t>
  </si>
  <si>
    <t>All values are in USD</t>
  </si>
  <si>
    <t>Country</t>
  </si>
  <si>
    <t>Gross Margin%</t>
  </si>
  <si>
    <t>GM %</t>
  </si>
  <si>
    <t>By Quarter (Sub Zone)</t>
  </si>
  <si>
    <t>Note: Do not modify this pivot table</t>
  </si>
  <si>
    <t>Sub Zone</t>
  </si>
  <si>
    <t>ANZ</t>
  </si>
  <si>
    <t>NA</t>
  </si>
  <si>
    <t>NE</t>
  </si>
  <si>
    <t>ROA</t>
  </si>
  <si>
    <t>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</si>
</sst>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,,&quot;M&quot;"/>
    <numFmt numFmtId="165" formatCode="0.0%"/>
    <numFmt numFmtId="166" formatCode="0.00,,&quot;M&quot;"/>
    <numFmt numFmtId="167" formatCode="0.00%;\-0.00%;0.00%"/>
  </numFmts>
  <fonts count="7">
    <font>
      <sz val="11.0"/>
      <color theme="1"/>
      <name val="Aptos Narrow"/>
      <scheme val="minor"/>
    </font>
    <font>
      <b/>
      <sz val="11.0"/>
      <color rgb="FFFF9900"/>
      <name val="Avenir"/>
    </font>
    <font>
      <sz val="11.0"/>
      <color theme="1"/>
      <name val="Avenir"/>
    </font>
    <font>
      <sz val="11.0"/>
      <color theme="1"/>
      <name val="Aptos Narrow"/>
    </font>
    <font>
      <b/>
      <sz val="11.0"/>
      <color theme="1"/>
      <name val="Avenir"/>
    </font>
    <font>
      <color theme="1"/>
      <name val="Aptos Narrow"/>
      <scheme val="minor"/>
    </font>
    <font>
      <b/>
      <sz val="12.0"/>
      <color rgb="FFFF9900"/>
      <name val="Avenir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Font="1" applyNumberFormat="1"/>
    <xf borderId="0" fillId="0" fontId="2" numFmtId="165" xfId="0" applyFont="1" applyNumberFormat="1"/>
    <xf borderId="0" fillId="0" fontId="4" numFmtId="0" xfId="0" applyFont="1"/>
    <xf borderId="0" fillId="0" fontId="1" numFmtId="0" xfId="0" applyAlignment="1" applyFont="1">
      <alignment horizontal="left" shrinkToFit="0" wrapText="1"/>
    </xf>
    <xf borderId="0" fillId="0" fontId="5" numFmtId="0" xfId="0" applyFont="1"/>
    <xf borderId="0" fillId="0" fontId="6" numFmtId="0" xfId="0" applyFont="1"/>
    <xf borderId="0" fillId="0" fontId="2" numFmtId="166" xfId="0" applyFont="1" applyNumberFormat="1"/>
    <xf borderId="1" fillId="0" fontId="2" numFmtId="167" xfId="0" applyBorder="1" applyFont="1" applyNumberFormat="1"/>
    <xf borderId="2" fillId="0" fontId="2" numFmtId="167" xfId="0" applyBorder="1" applyFont="1" applyNumberFormat="1"/>
    <xf borderId="3" fillId="0" fontId="2" numFmtId="167" xfId="0" applyBorder="1" applyFont="1" applyNumberFormat="1"/>
    <xf borderId="2" fillId="0" fontId="4" numFmtId="0" xfId="0" applyAlignment="1" applyBorder="1" applyFont="1">
      <alignment horizontal="left"/>
    </xf>
    <xf borderId="2" fillId="0" fontId="4" numFmtId="164" xfId="0" applyBorder="1" applyFont="1" applyNumberFormat="1"/>
    <xf borderId="2" fillId="0" fontId="4" numFmtId="167" xfId="0" applyBorder="1" applyFont="1" applyNumberFormat="1"/>
    <xf borderId="0" fillId="0" fontId="2" numFmtId="0" xfId="0" applyAlignment="1" applyFont="1">
      <alignment horizontal="center"/>
    </xf>
    <xf borderId="1" fillId="0" fontId="2" numFmtId="0" xfId="0" applyBorder="1" applyFont="1"/>
    <xf borderId="1" fillId="0" fontId="4" numFmtId="0" xfId="0" applyBorder="1" applyFont="1"/>
    <xf borderId="0" fillId="0" fontId="2" numFmtId="10" xfId="0" applyFont="1" applyNumberFormat="1"/>
    <xf borderId="2" fillId="0" fontId="4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84F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5.63"/>
    <col customWidth="1" min="3" max="3" width="15.75"/>
    <col customWidth="1" min="4" max="4" width="21.25"/>
    <col customWidth="1" min="5" max="5" width="15.63"/>
    <col customWidth="1" min="6" max="6" width="19.75"/>
    <col customWidth="1" min="7" max="7" width="13.13"/>
    <col customWidth="1" min="8" max="8" width="15.63"/>
    <col customWidth="1" min="9" max="26" width="8.63"/>
  </cols>
  <sheetData>
    <row r="3">
      <c r="C3" s="1" t="s">
        <v>0</v>
      </c>
    </row>
    <row r="4">
      <c r="E4" s="2"/>
      <c r="F4" s="2"/>
      <c r="G4" s="2"/>
      <c r="H4" s="3"/>
    </row>
    <row r="5">
      <c r="C5" s="2" t="s">
        <v>1</v>
      </c>
      <c r="D5" s="2" t="s">
        <v>2</v>
      </c>
      <c r="E5" s="2"/>
      <c r="F5" s="1" t="s">
        <v>3</v>
      </c>
      <c r="G5" s="1"/>
      <c r="H5" s="3"/>
    </row>
    <row r="6">
      <c r="C6" s="2" t="s">
        <v>4</v>
      </c>
      <c r="D6" s="2" t="s">
        <v>2</v>
      </c>
      <c r="E6" s="2"/>
      <c r="F6" s="1" t="s">
        <v>5</v>
      </c>
      <c r="G6" s="1"/>
      <c r="H6" s="3"/>
    </row>
    <row r="7">
      <c r="C7" s="2" t="s">
        <v>6</v>
      </c>
      <c r="D7" s="2" t="s">
        <v>2</v>
      </c>
      <c r="E7" s="2"/>
      <c r="F7" s="2" t="s">
        <v>7</v>
      </c>
      <c r="G7" s="2"/>
      <c r="H7" s="3"/>
    </row>
    <row r="8">
      <c r="C8" s="2"/>
      <c r="D8" s="2"/>
      <c r="E8" s="2"/>
      <c r="F8" s="2" t="s">
        <v>8</v>
      </c>
      <c r="G8" s="2"/>
      <c r="H8" s="3"/>
    </row>
    <row r="9">
      <c r="C9" s="2"/>
      <c r="D9" s="2" t="s">
        <v>9</v>
      </c>
      <c r="E9" s="2"/>
      <c r="F9" s="2"/>
      <c r="G9" s="2"/>
      <c r="H9" s="3"/>
    </row>
    <row r="10">
      <c r="C10" s="4" t="s">
        <v>10</v>
      </c>
      <c r="D10" s="4" t="s">
        <v>11</v>
      </c>
      <c r="E10" s="4" t="s">
        <v>12</v>
      </c>
      <c r="F10" s="4" t="s">
        <v>13</v>
      </c>
      <c r="G10" s="5" t="s">
        <v>14</v>
      </c>
      <c r="H10" s="3"/>
    </row>
    <row r="11">
      <c r="C11" s="6" t="s">
        <v>15</v>
      </c>
      <c r="D11" s="7"/>
      <c r="E11" s="7"/>
      <c r="F11" s="7"/>
      <c r="G11" s="8" t="str">
        <f t="shared" ref="G11:G185" si="1">IFERROR(F11/E11-1," ")</f>
        <v> </v>
      </c>
      <c r="H11" s="3"/>
    </row>
    <row r="12">
      <c r="C12" s="6" t="s">
        <v>16</v>
      </c>
      <c r="D12" s="7">
        <v>3876686.5</v>
      </c>
      <c r="E12" s="7">
        <v>1.069799409E7</v>
      </c>
      <c r="F12" s="7">
        <v>2.099133373E7</v>
      </c>
      <c r="G12" s="8">
        <f t="shared" si="1"/>
        <v>0.9621747361</v>
      </c>
      <c r="H12" s="3"/>
    </row>
    <row r="13">
      <c r="C13" s="6" t="s">
        <v>17</v>
      </c>
      <c r="D13" s="7">
        <v>2226508.733499998</v>
      </c>
      <c r="E13" s="7">
        <v>5789780.527099995</v>
      </c>
      <c r="F13" s="7">
        <v>1.4080646471899964E7</v>
      </c>
      <c r="G13" s="8">
        <f t="shared" si="1"/>
        <v>1.431982768</v>
      </c>
      <c r="H13" s="3"/>
    </row>
    <row r="14">
      <c r="C14" s="6" t="s">
        <v>18</v>
      </c>
      <c r="D14" s="7">
        <v>1650177.7665000018</v>
      </c>
      <c r="E14" s="7">
        <v>4908213.562900005</v>
      </c>
      <c r="F14" s="7">
        <v>6910687.2581000365</v>
      </c>
      <c r="G14" s="8">
        <f t="shared" si="1"/>
        <v>0.4079842227</v>
      </c>
      <c r="H14" s="3"/>
    </row>
    <row r="15">
      <c r="C15" s="6" t="s">
        <v>19</v>
      </c>
      <c r="D15" s="8">
        <v>0.42566706554682765</v>
      </c>
      <c r="E15" s="8">
        <v>0.4587975578980718</v>
      </c>
      <c r="F15" s="8">
        <v>0.3292162064111034</v>
      </c>
      <c r="G15" s="8">
        <f t="shared" si="1"/>
        <v>-0.2824368815</v>
      </c>
    </row>
    <row r="16">
      <c r="C16" s="6" t="s">
        <v>20</v>
      </c>
      <c r="D16" s="7"/>
      <c r="E16" s="7"/>
      <c r="F16" s="7"/>
      <c r="G16" s="8" t="str">
        <f t="shared" si="1"/>
        <v> </v>
      </c>
    </row>
    <row r="17">
      <c r="C17" s="6" t="s">
        <v>16</v>
      </c>
      <c r="D17" s="7"/>
      <c r="E17" s="7">
        <v>118281.03</v>
      </c>
      <c r="F17" s="7">
        <v>2840298.27</v>
      </c>
      <c r="G17" s="8">
        <f t="shared" si="1"/>
        <v>23.0131344</v>
      </c>
    </row>
    <row r="18">
      <c r="C18" s="6" t="s">
        <v>17</v>
      </c>
      <c r="D18" s="7"/>
      <c r="E18" s="7">
        <v>87351.52730000018</v>
      </c>
      <c r="F18" s="7">
        <v>1984959.9914000041</v>
      </c>
      <c r="G18" s="8">
        <f t="shared" si="1"/>
        <v>21.72381552</v>
      </c>
    </row>
    <row r="19">
      <c r="C19" s="6" t="s">
        <v>18</v>
      </c>
      <c r="D19" s="7"/>
      <c r="E19" s="7">
        <v>30929.502699999823</v>
      </c>
      <c r="F19" s="7">
        <v>855338.2785999959</v>
      </c>
      <c r="G19" s="8">
        <f t="shared" si="1"/>
        <v>26.65444653</v>
      </c>
    </row>
    <row r="20">
      <c r="C20" s="6" t="s">
        <v>19</v>
      </c>
      <c r="D20" s="8"/>
      <c r="E20" s="8">
        <v>0.2614916584679709</v>
      </c>
      <c r="F20" s="8">
        <v>0.301143822687325</v>
      </c>
      <c r="G20" s="8">
        <f t="shared" si="1"/>
        <v>0.1516383523</v>
      </c>
    </row>
    <row r="21" ht="15.75" customHeight="1">
      <c r="C21" s="6" t="s">
        <v>21</v>
      </c>
      <c r="D21" s="7"/>
      <c r="E21" s="7"/>
      <c r="F21" s="7"/>
      <c r="G21" s="8" t="str">
        <f t="shared" si="1"/>
        <v> </v>
      </c>
    </row>
    <row r="22" ht="15.75" customHeight="1">
      <c r="C22" s="6" t="s">
        <v>16</v>
      </c>
      <c r="D22" s="7">
        <v>479984.39</v>
      </c>
      <c r="E22" s="7">
        <v>2258843.36</v>
      </c>
      <c r="F22" s="7">
        <v>6950493.55</v>
      </c>
      <c r="G22" s="8">
        <f t="shared" si="1"/>
        <v>2.077014402</v>
      </c>
    </row>
    <row r="23" ht="15.75" customHeight="1">
      <c r="C23" s="6" t="s">
        <v>17</v>
      </c>
      <c r="D23" s="7">
        <v>342083.2533999998</v>
      </c>
      <c r="E23" s="7">
        <v>1364212.3829999985</v>
      </c>
      <c r="F23" s="7">
        <v>4549649.0948999915</v>
      </c>
      <c r="G23" s="8">
        <f t="shared" si="1"/>
        <v>2.335000585</v>
      </c>
    </row>
    <row r="24" ht="15.75" customHeight="1">
      <c r="C24" s="6" t="s">
        <v>18</v>
      </c>
      <c r="D24" s="7">
        <v>137901.1366000002</v>
      </c>
      <c r="E24" s="7">
        <v>894630.9770000014</v>
      </c>
      <c r="F24" s="7">
        <v>2400844.4551000083</v>
      </c>
      <c r="G24" s="8">
        <f t="shared" si="1"/>
        <v>1.683614269</v>
      </c>
    </row>
    <row r="25" ht="15.75" customHeight="1">
      <c r="C25" s="6" t="s">
        <v>19</v>
      </c>
      <c r="D25" s="8">
        <v>0.28730337792860344</v>
      </c>
      <c r="E25" s="8">
        <v>0.3960571117246489</v>
      </c>
      <c r="F25" s="8">
        <v>0.3454207154972482</v>
      </c>
      <c r="G25" s="8">
        <f t="shared" si="1"/>
        <v>-0.1278512485</v>
      </c>
    </row>
    <row r="26" ht="15.75" customHeight="1">
      <c r="C26" s="6" t="s">
        <v>22</v>
      </c>
      <c r="D26" s="7"/>
      <c r="E26" s="7"/>
      <c r="F26" s="7"/>
      <c r="G26" s="8" t="str">
        <f t="shared" si="1"/>
        <v> </v>
      </c>
    </row>
    <row r="27" ht="15.75" customHeight="1">
      <c r="C27" s="6" t="s">
        <v>16</v>
      </c>
      <c r="D27" s="7">
        <v>4764382.06</v>
      </c>
      <c r="E27" s="7">
        <v>1.217075943E7</v>
      </c>
      <c r="F27" s="7">
        <v>3.50588814E7</v>
      </c>
      <c r="G27" s="8">
        <f t="shared" si="1"/>
        <v>1.880582892</v>
      </c>
    </row>
    <row r="28" ht="15.75" customHeight="1">
      <c r="C28" s="6" t="s">
        <v>17</v>
      </c>
      <c r="D28" s="7">
        <v>2778949.9062000015</v>
      </c>
      <c r="E28" s="7">
        <v>7069787.858199992</v>
      </c>
      <c r="F28" s="7">
        <v>2.166419479130007E7</v>
      </c>
      <c r="G28" s="8">
        <f t="shared" si="1"/>
        <v>2.064334493</v>
      </c>
    </row>
    <row r="29" ht="15.75" customHeight="1">
      <c r="C29" s="6" t="s">
        <v>18</v>
      </c>
      <c r="D29" s="7">
        <v>1985432.153799998</v>
      </c>
      <c r="E29" s="7">
        <v>5100971.5718000075</v>
      </c>
      <c r="F29" s="7">
        <v>1.3394686608699929E7</v>
      </c>
      <c r="G29" s="8">
        <f t="shared" si="1"/>
        <v>1.625908892</v>
      </c>
    </row>
    <row r="30" ht="15.75" customHeight="1">
      <c r="C30" s="6" t="s">
        <v>19</v>
      </c>
      <c r="D30" s="8">
        <v>0.4167239589093739</v>
      </c>
      <c r="E30" s="8">
        <v>0.41911695002585453</v>
      </c>
      <c r="F30" s="8">
        <v>0.3820625779777426</v>
      </c>
      <c r="G30" s="8">
        <f t="shared" si="1"/>
        <v>-0.08841057859</v>
      </c>
    </row>
    <row r="31" ht="15.75" customHeight="1">
      <c r="C31" s="6" t="s">
        <v>23</v>
      </c>
      <c r="D31" s="7"/>
      <c r="E31" s="7"/>
      <c r="F31" s="7"/>
      <c r="G31" s="8" t="str">
        <f t="shared" si="1"/>
        <v> </v>
      </c>
    </row>
    <row r="32" ht="15.75" customHeight="1">
      <c r="C32" s="6" t="s">
        <v>16</v>
      </c>
      <c r="D32" s="7">
        <v>1425717.75</v>
      </c>
      <c r="E32" s="7">
        <v>5423567.67</v>
      </c>
      <c r="F32" s="7">
        <v>2.288633625E7</v>
      </c>
      <c r="G32" s="8">
        <f t="shared" si="1"/>
        <v>3.21979362</v>
      </c>
    </row>
    <row r="33" ht="15.75" customHeight="1">
      <c r="C33" s="6" t="s">
        <v>17</v>
      </c>
      <c r="D33" s="7">
        <v>784930.3683000011</v>
      </c>
      <c r="E33" s="7">
        <v>3325771.217499997</v>
      </c>
      <c r="F33" s="7">
        <v>1.3486234367199995E7</v>
      </c>
      <c r="G33" s="8">
        <f t="shared" si="1"/>
        <v>3.055069782</v>
      </c>
    </row>
    <row r="34" ht="15.75" customHeight="1">
      <c r="C34" s="6" t="s">
        <v>18</v>
      </c>
      <c r="D34" s="7">
        <v>640787.3816999989</v>
      </c>
      <c r="E34" s="7">
        <v>2097796.452500003</v>
      </c>
      <c r="F34" s="7">
        <v>9400101.882800005</v>
      </c>
      <c r="G34" s="8">
        <f t="shared" si="1"/>
        <v>3.48094088</v>
      </c>
    </row>
    <row r="35" ht="15.75" customHeight="1">
      <c r="C35" s="6" t="s">
        <v>19</v>
      </c>
      <c r="D35" s="8">
        <v>0.44944897522668764</v>
      </c>
      <c r="E35" s="8">
        <v>0.3867927128675437</v>
      </c>
      <c r="F35" s="8">
        <v>0.4107298686918491</v>
      </c>
      <c r="G35" s="8">
        <f t="shared" si="1"/>
        <v>0.0618862637</v>
      </c>
    </row>
    <row r="36" ht="15.75" customHeight="1">
      <c r="C36" s="6" t="s">
        <v>24</v>
      </c>
      <c r="D36" s="7"/>
      <c r="E36" s="7"/>
      <c r="F36" s="7"/>
      <c r="G36" s="8" t="str">
        <f t="shared" si="1"/>
        <v> </v>
      </c>
    </row>
    <row r="37" ht="15.75" customHeight="1">
      <c r="C37" s="6" t="s">
        <v>16</v>
      </c>
      <c r="D37" s="7">
        <v>4036469.18</v>
      </c>
      <c r="E37" s="7">
        <v>7471763.36</v>
      </c>
      <c r="F37" s="7">
        <v>2.594417204E7</v>
      </c>
      <c r="G37" s="8">
        <f t="shared" si="1"/>
        <v>2.472295734</v>
      </c>
    </row>
    <row r="38" ht="15.75" customHeight="1">
      <c r="C38" s="6" t="s">
        <v>17</v>
      </c>
      <c r="D38" s="7">
        <v>2256705.948799996</v>
      </c>
      <c r="E38" s="7">
        <v>4250613.653300013</v>
      </c>
      <c r="F38" s="7">
        <v>1.4726089599700008E7</v>
      </c>
      <c r="G38" s="8">
        <f t="shared" si="1"/>
        <v>2.464462029</v>
      </c>
    </row>
    <row r="39" ht="15.75" customHeight="1">
      <c r="C39" s="6" t="s">
        <v>18</v>
      </c>
      <c r="D39" s="7">
        <v>1779763.231200004</v>
      </c>
      <c r="E39" s="7">
        <v>3221149.706699987</v>
      </c>
      <c r="F39" s="7">
        <v>1.1218082440299992E7</v>
      </c>
      <c r="G39" s="8">
        <f t="shared" si="1"/>
        <v>2.482633054</v>
      </c>
    </row>
    <row r="40" ht="15.75" customHeight="1">
      <c r="C40" s="6" t="s">
        <v>19</v>
      </c>
      <c r="D40" s="8">
        <v>0.4409208027695145</v>
      </c>
      <c r="E40" s="8">
        <v>0.43110970616981464</v>
      </c>
      <c r="F40" s="8">
        <v>0.432393156467058</v>
      </c>
      <c r="G40" s="8">
        <f t="shared" si="1"/>
        <v>0.002977085134</v>
      </c>
    </row>
    <row r="41" ht="15.75" customHeight="1">
      <c r="C41" s="6" t="s">
        <v>25</v>
      </c>
      <c r="D41" s="7"/>
      <c r="E41" s="7"/>
      <c r="F41" s="7"/>
      <c r="G41" s="8" t="str">
        <f t="shared" si="1"/>
        <v> </v>
      </c>
    </row>
    <row r="42" ht="15.75" customHeight="1">
      <c r="C42" s="6" t="s">
        <v>16</v>
      </c>
      <c r="D42" s="7">
        <v>2563110.11</v>
      </c>
      <c r="E42" s="7">
        <v>4685895.05</v>
      </c>
      <c r="F42" s="7">
        <v>1.200627104E7</v>
      </c>
      <c r="G42" s="8">
        <f t="shared" si="1"/>
        <v>1.562215097</v>
      </c>
    </row>
    <row r="43" ht="15.75" customHeight="1">
      <c r="C43" s="6" t="s">
        <v>17</v>
      </c>
      <c r="D43" s="7">
        <v>1615649.4436999988</v>
      </c>
      <c r="E43" s="7">
        <v>3016491.7146999934</v>
      </c>
      <c r="F43" s="7">
        <v>8863150.512100004</v>
      </c>
      <c r="G43" s="8">
        <f t="shared" si="1"/>
        <v>1.938231346</v>
      </c>
    </row>
    <row r="44" ht="15.75" customHeight="1">
      <c r="C44" s="6" t="s">
        <v>18</v>
      </c>
      <c r="D44" s="7">
        <v>947460.6663000011</v>
      </c>
      <c r="E44" s="7">
        <v>1669403.3353000064</v>
      </c>
      <c r="F44" s="7">
        <v>3143120.5278999954</v>
      </c>
      <c r="G44" s="8">
        <f t="shared" si="1"/>
        <v>0.8827807885</v>
      </c>
    </row>
    <row r="45" ht="15.75" customHeight="1">
      <c r="C45" s="6" t="s">
        <v>19</v>
      </c>
      <c r="D45" s="8">
        <v>0.36965273657322556</v>
      </c>
      <c r="E45" s="8">
        <v>0.3562613582862908</v>
      </c>
      <c r="F45" s="8">
        <v>0.26178990274569014</v>
      </c>
      <c r="G45" s="8">
        <f t="shared" si="1"/>
        <v>-0.2651745786</v>
      </c>
    </row>
    <row r="46" ht="15.75" customHeight="1">
      <c r="C46" s="6" t="s">
        <v>26</v>
      </c>
      <c r="D46" s="7"/>
      <c r="E46" s="7"/>
      <c r="F46" s="7"/>
      <c r="G46" s="8" t="str">
        <f t="shared" si="1"/>
        <v> </v>
      </c>
    </row>
    <row r="47" ht="15.75" customHeight="1">
      <c r="C47" s="6" t="s">
        <v>16</v>
      </c>
      <c r="D47" s="7">
        <v>3.081854612E7</v>
      </c>
      <c r="E47" s="7">
        <v>4.977003173E7</v>
      </c>
      <c r="F47" s="7">
        <v>1.6126251218E8</v>
      </c>
      <c r="G47" s="8">
        <f t="shared" si="1"/>
        <v>2.240152891</v>
      </c>
    </row>
    <row r="48" ht="15.75" customHeight="1">
      <c r="C48" s="6" t="s">
        <v>17</v>
      </c>
      <c r="D48" s="7">
        <v>1.7766240117700007E7</v>
      </c>
      <c r="E48" s="7">
        <v>3.3740433733199894E7</v>
      </c>
      <c r="F48" s="7">
        <v>1.096529516966003E8</v>
      </c>
      <c r="G48" s="8">
        <f t="shared" si="1"/>
        <v>2.249897514</v>
      </c>
    </row>
    <row r="49" ht="15.75" customHeight="1">
      <c r="C49" s="6" t="s">
        <v>18</v>
      </c>
      <c r="D49" s="7">
        <v>1.3052306002299994E7</v>
      </c>
      <c r="E49" s="7">
        <v>1.6029597996800102E7</v>
      </c>
      <c r="F49" s="7">
        <v>5.1609560483399704E7</v>
      </c>
      <c r="G49" s="8">
        <f t="shared" si="1"/>
        <v>2.219641596</v>
      </c>
    </row>
    <row r="50" ht="15.75" customHeight="1">
      <c r="C50" s="6" t="s">
        <v>19</v>
      </c>
      <c r="D50" s="8">
        <v>0.4235211470222332</v>
      </c>
      <c r="E50" s="8">
        <v>0.3220732926946861</v>
      </c>
      <c r="F50" s="8">
        <v>0.32003445677314946</v>
      </c>
      <c r="G50" s="8">
        <f t="shared" si="1"/>
        <v>-0.006330347681</v>
      </c>
    </row>
    <row r="51" ht="15.75" customHeight="1">
      <c r="C51" s="6" t="s">
        <v>27</v>
      </c>
      <c r="D51" s="7"/>
      <c r="E51" s="7"/>
      <c r="F51" s="7"/>
      <c r="G51" s="8" t="str">
        <f t="shared" si="1"/>
        <v> </v>
      </c>
    </row>
    <row r="52" ht="15.75" customHeight="1">
      <c r="C52" s="6" t="s">
        <v>16</v>
      </c>
      <c r="D52" s="7">
        <v>2524401.49</v>
      </c>
      <c r="E52" s="7">
        <v>6206743.5</v>
      </c>
      <c r="F52" s="7">
        <v>1.841457681E7</v>
      </c>
      <c r="G52" s="8">
        <f t="shared" si="1"/>
        <v>1.966866088</v>
      </c>
    </row>
    <row r="53" ht="15.75" customHeight="1">
      <c r="C53" s="6" t="s">
        <v>17</v>
      </c>
      <c r="D53" s="7">
        <v>1463429.1338000007</v>
      </c>
      <c r="E53" s="7">
        <v>3543386.4773999993</v>
      </c>
      <c r="F53" s="7">
        <v>1.1341862119900001E7</v>
      </c>
      <c r="G53" s="8">
        <f t="shared" si="1"/>
        <v>2.200853814</v>
      </c>
    </row>
    <row r="54" ht="15.75" customHeight="1">
      <c r="C54" s="6" t="s">
        <v>18</v>
      </c>
      <c r="D54" s="7">
        <v>1060972.3561999996</v>
      </c>
      <c r="E54" s="7">
        <v>2663357.0226000007</v>
      </c>
      <c r="F54" s="7">
        <v>7072714.690099997</v>
      </c>
      <c r="G54" s="8">
        <f t="shared" si="1"/>
        <v>1.655563873</v>
      </c>
    </row>
    <row r="55" ht="15.75" customHeight="1">
      <c r="C55" s="6" t="s">
        <v>19</v>
      </c>
      <c r="D55" s="8">
        <v>0.4202866938570851</v>
      </c>
      <c r="E55" s="8">
        <v>0.42910699025986826</v>
      </c>
      <c r="F55" s="8">
        <v>0.3840823909816474</v>
      </c>
      <c r="G55" s="8">
        <f t="shared" si="1"/>
        <v>-0.1049262778</v>
      </c>
    </row>
    <row r="56" ht="15.75" customHeight="1">
      <c r="C56" s="6" t="s">
        <v>28</v>
      </c>
      <c r="D56" s="7"/>
      <c r="E56" s="7"/>
      <c r="F56" s="7"/>
      <c r="G56" s="8" t="str">
        <f t="shared" si="1"/>
        <v> </v>
      </c>
    </row>
    <row r="57" ht="15.75" customHeight="1">
      <c r="C57" s="6" t="s">
        <v>16</v>
      </c>
      <c r="D57" s="7">
        <v>2904063.69</v>
      </c>
      <c r="E57" s="7">
        <v>4463460.73</v>
      </c>
      <c r="F57" s="7">
        <v>1.171781046E7</v>
      </c>
      <c r="G57" s="8">
        <f t="shared" si="1"/>
        <v>1.625274685</v>
      </c>
    </row>
    <row r="58" ht="15.75" customHeight="1">
      <c r="C58" s="6" t="s">
        <v>17</v>
      </c>
      <c r="D58" s="7">
        <v>1578817.874999999</v>
      </c>
      <c r="E58" s="7">
        <v>3094102.7169000166</v>
      </c>
      <c r="F58" s="7">
        <v>8187152.009100018</v>
      </c>
      <c r="G58" s="8">
        <f t="shared" si="1"/>
        <v>1.64605049</v>
      </c>
    </row>
    <row r="59" ht="15.75" customHeight="1">
      <c r="C59" s="6" t="s">
        <v>18</v>
      </c>
      <c r="D59" s="7">
        <v>1325245.8150000009</v>
      </c>
      <c r="E59" s="7">
        <v>1369358.0130999838</v>
      </c>
      <c r="F59" s="7">
        <v>3530658.450899983</v>
      </c>
      <c r="G59" s="8">
        <f t="shared" si="1"/>
        <v>1.578331172</v>
      </c>
    </row>
    <row r="60" ht="15.75" customHeight="1">
      <c r="C60" s="6" t="s">
        <v>19</v>
      </c>
      <c r="D60" s="8">
        <v>0.4563418562628015</v>
      </c>
      <c r="E60" s="8">
        <v>0.3067928891804059</v>
      </c>
      <c r="F60" s="8">
        <v>0.3013070114892422</v>
      </c>
      <c r="G60" s="8">
        <f t="shared" si="1"/>
        <v>-0.01788137172</v>
      </c>
    </row>
    <row r="61" ht="15.75" customHeight="1">
      <c r="C61" s="6" t="s">
        <v>29</v>
      </c>
      <c r="D61" s="7"/>
      <c r="E61" s="7"/>
      <c r="F61" s="7"/>
      <c r="G61" s="8" t="str">
        <f t="shared" si="1"/>
        <v> </v>
      </c>
    </row>
    <row r="62" ht="15.75" customHeight="1">
      <c r="C62" s="6" t="s">
        <v>16</v>
      </c>
      <c r="D62" s="7"/>
      <c r="E62" s="7">
        <v>1881281.6</v>
      </c>
      <c r="F62" s="7">
        <v>7922197.01</v>
      </c>
      <c r="G62" s="8">
        <f t="shared" si="1"/>
        <v>3.211063889</v>
      </c>
    </row>
    <row r="63" ht="15.75" customHeight="1">
      <c r="C63" s="6" t="s">
        <v>17</v>
      </c>
      <c r="D63" s="7"/>
      <c r="E63" s="7">
        <v>1185907.8271000027</v>
      </c>
      <c r="F63" s="7">
        <v>4236964.988300006</v>
      </c>
      <c r="G63" s="8">
        <f t="shared" si="1"/>
        <v>2.572760793</v>
      </c>
    </row>
    <row r="64" ht="15.75" customHeight="1">
      <c r="C64" s="6" t="s">
        <v>18</v>
      </c>
      <c r="D64" s="7"/>
      <c r="E64" s="7">
        <v>695373.7728999974</v>
      </c>
      <c r="F64" s="7">
        <v>3685232.021699994</v>
      </c>
      <c r="G64" s="8">
        <f t="shared" si="1"/>
        <v>4.299641956</v>
      </c>
    </row>
    <row r="65" ht="15.75" customHeight="1">
      <c r="C65" s="6" t="s">
        <v>19</v>
      </c>
      <c r="D65" s="8"/>
      <c r="E65" s="8">
        <v>0.36962769045314503</v>
      </c>
      <c r="F65" s="8">
        <v>0.4651780329431613</v>
      </c>
      <c r="G65" s="8">
        <f t="shared" si="1"/>
        <v>0.2585042868</v>
      </c>
    </row>
    <row r="66" ht="15.75" customHeight="1">
      <c r="C66" s="6" t="s">
        <v>30</v>
      </c>
      <c r="D66" s="7"/>
      <c r="E66" s="7"/>
      <c r="F66" s="7"/>
      <c r="G66" s="8" t="str">
        <f t="shared" si="1"/>
        <v> </v>
      </c>
    </row>
    <row r="67" ht="15.75" customHeight="1">
      <c r="C67" s="6" t="s">
        <v>16</v>
      </c>
      <c r="D67" s="7">
        <v>225342.85</v>
      </c>
      <c r="E67" s="7">
        <v>3356013.39</v>
      </c>
      <c r="F67" s="7">
        <v>7984235.14</v>
      </c>
      <c r="G67" s="8">
        <f t="shared" si="1"/>
        <v>1.379083219</v>
      </c>
    </row>
    <row r="68" ht="15.75" customHeight="1">
      <c r="C68" s="6" t="s">
        <v>17</v>
      </c>
      <c r="D68" s="7">
        <v>143402.25990000018</v>
      </c>
      <c r="E68" s="7">
        <v>1752085.8713000014</v>
      </c>
      <c r="F68" s="7">
        <v>4628370.210799997</v>
      </c>
      <c r="G68" s="8">
        <f t="shared" si="1"/>
        <v>1.641634344</v>
      </c>
    </row>
    <row r="69" ht="15.75" customHeight="1">
      <c r="C69" s="6" t="s">
        <v>18</v>
      </c>
      <c r="D69" s="7">
        <v>81940.59009999983</v>
      </c>
      <c r="E69" s="7">
        <v>1603927.5186999987</v>
      </c>
      <c r="F69" s="7">
        <v>3355864.929200003</v>
      </c>
      <c r="G69" s="8">
        <f t="shared" si="1"/>
        <v>1.092279664</v>
      </c>
    </row>
    <row r="70" ht="15.75" customHeight="1">
      <c r="C70" s="6" t="s">
        <v>19</v>
      </c>
      <c r="D70" s="8">
        <v>0.36362631474661755</v>
      </c>
      <c r="E70" s="8">
        <v>0.4779264360146068</v>
      </c>
      <c r="F70" s="8">
        <v>0.4203113849174541</v>
      </c>
      <c r="G70" s="8">
        <f t="shared" si="1"/>
        <v>-0.1205521326</v>
      </c>
    </row>
    <row r="71" ht="15.75" customHeight="1">
      <c r="C71" s="6" t="s">
        <v>31</v>
      </c>
      <c r="D71" s="7"/>
      <c r="E71" s="7"/>
      <c r="F71" s="7"/>
      <c r="G71" s="8" t="str">
        <f t="shared" si="1"/>
        <v> </v>
      </c>
    </row>
    <row r="72" ht="15.75" customHeight="1">
      <c r="C72" s="6" t="s">
        <v>16</v>
      </c>
      <c r="D72" s="7"/>
      <c r="E72" s="7">
        <v>1985436.8</v>
      </c>
      <c r="F72" s="7">
        <v>1.140215976E7</v>
      </c>
      <c r="G72" s="8">
        <f t="shared" si="1"/>
        <v>4.742897361</v>
      </c>
    </row>
    <row r="73" ht="15.75" customHeight="1">
      <c r="C73" s="6" t="s">
        <v>17</v>
      </c>
      <c r="D73" s="7"/>
      <c r="E73" s="7">
        <v>1462100.4232999978</v>
      </c>
      <c r="F73" s="7">
        <v>5903405.680499997</v>
      </c>
      <c r="G73" s="8">
        <f t="shared" si="1"/>
        <v>3.037619842</v>
      </c>
    </row>
    <row r="74" ht="15.75" customHeight="1">
      <c r="C74" s="6" t="s">
        <v>18</v>
      </c>
      <c r="D74" s="7"/>
      <c r="E74" s="7">
        <v>523336.37670000223</v>
      </c>
      <c r="F74" s="7">
        <v>5498754.079500003</v>
      </c>
      <c r="G74" s="8">
        <f t="shared" si="1"/>
        <v>9.507112298</v>
      </c>
    </row>
    <row r="75" ht="15.75" customHeight="1">
      <c r="C75" s="6" t="s">
        <v>19</v>
      </c>
      <c r="D75" s="8"/>
      <c r="E75" s="8">
        <v>0.26358752728870655</v>
      </c>
      <c r="F75" s="8">
        <v>0.4822554845083141</v>
      </c>
      <c r="G75" s="8">
        <f t="shared" si="1"/>
        <v>0.8295838558</v>
      </c>
    </row>
    <row r="76" ht="15.75" customHeight="1">
      <c r="C76" s="6" t="s">
        <v>32</v>
      </c>
      <c r="D76" s="7"/>
      <c r="E76" s="7"/>
      <c r="F76" s="7"/>
      <c r="G76" s="8" t="str">
        <f t="shared" si="1"/>
        <v> </v>
      </c>
    </row>
    <row r="77" ht="15.75" customHeight="1">
      <c r="C77" s="6" t="s">
        <v>16</v>
      </c>
      <c r="D77" s="7"/>
      <c r="E77" s="7">
        <v>2478582.35</v>
      </c>
      <c r="F77" s="7">
        <v>1.367750675E7</v>
      </c>
      <c r="G77" s="8">
        <f t="shared" si="1"/>
        <v>4.51827812</v>
      </c>
    </row>
    <row r="78" ht="15.75" customHeight="1">
      <c r="C78" s="6" t="s">
        <v>17</v>
      </c>
      <c r="D78" s="7"/>
      <c r="E78" s="7">
        <v>1543153.5038999983</v>
      </c>
      <c r="F78" s="7">
        <v>9645390.221600022</v>
      </c>
      <c r="G78" s="8">
        <f t="shared" si="1"/>
        <v>5.250441189</v>
      </c>
    </row>
    <row r="79" ht="15.75" customHeight="1">
      <c r="C79" s="6" t="s">
        <v>18</v>
      </c>
      <c r="D79" s="7"/>
      <c r="E79" s="7">
        <v>935428.8461000018</v>
      </c>
      <c r="F79" s="7">
        <v>4032116.528399978</v>
      </c>
      <c r="G79" s="8">
        <f t="shared" si="1"/>
        <v>3.31044707</v>
      </c>
    </row>
    <row r="80" ht="15.75" customHeight="1">
      <c r="C80" s="6" t="s">
        <v>19</v>
      </c>
      <c r="D80" s="8"/>
      <c r="E80" s="8">
        <v>0.3774047879022465</v>
      </c>
      <c r="F80" s="8">
        <v>0.2947990889055842</v>
      </c>
      <c r="G80" s="8">
        <f t="shared" si="1"/>
        <v>-0.2188782486</v>
      </c>
    </row>
    <row r="81" ht="15.75" customHeight="1">
      <c r="C81" s="6" t="s">
        <v>33</v>
      </c>
      <c r="D81" s="7"/>
      <c r="E81" s="7"/>
      <c r="F81" s="7"/>
      <c r="G81" s="8" t="str">
        <f t="shared" si="1"/>
        <v> </v>
      </c>
    </row>
    <row r="82" ht="15.75" customHeight="1">
      <c r="C82" s="6" t="s">
        <v>16</v>
      </c>
      <c r="D82" s="7">
        <v>624511.51</v>
      </c>
      <c r="E82" s="7">
        <v>4694011.05</v>
      </c>
      <c r="F82" s="7">
        <v>5656740.32</v>
      </c>
      <c r="G82" s="8">
        <f t="shared" si="1"/>
        <v>0.2050973591</v>
      </c>
    </row>
    <row r="83" ht="15.75" customHeight="1">
      <c r="C83" s="6" t="s">
        <v>17</v>
      </c>
      <c r="D83" s="7">
        <v>376878.0769000013</v>
      </c>
      <c r="E83" s="7">
        <v>2687281.199300003</v>
      </c>
      <c r="F83" s="7">
        <v>3609869.428499995</v>
      </c>
      <c r="G83" s="8">
        <f t="shared" si="1"/>
        <v>0.3433165943</v>
      </c>
    </row>
    <row r="84" ht="15.75" customHeight="1">
      <c r="C84" s="6" t="s">
        <v>18</v>
      </c>
      <c r="D84" s="7">
        <v>247633.43309999869</v>
      </c>
      <c r="E84" s="7">
        <v>2006729.850699997</v>
      </c>
      <c r="F84" s="7">
        <v>2046870.8915000055</v>
      </c>
      <c r="G84" s="8">
        <f t="shared" si="1"/>
        <v>0.02000321109</v>
      </c>
    </row>
    <row r="85" ht="15.75" customHeight="1">
      <c r="C85" s="6" t="s">
        <v>19</v>
      </c>
      <c r="D85" s="8">
        <v>0.39652340931234187</v>
      </c>
      <c r="E85" s="8">
        <v>0.4275085485152399</v>
      </c>
      <c r="F85" s="8">
        <v>0.3618463595125762</v>
      </c>
      <c r="G85" s="8">
        <f t="shared" si="1"/>
        <v>-0.1535926924</v>
      </c>
    </row>
    <row r="86" ht="15.75" customHeight="1">
      <c r="C86" s="6" t="s">
        <v>34</v>
      </c>
      <c r="D86" s="7"/>
      <c r="E86" s="7"/>
      <c r="F86" s="7"/>
      <c r="G86" s="8" t="str">
        <f t="shared" si="1"/>
        <v> </v>
      </c>
    </row>
    <row r="87" ht="15.75" customHeight="1">
      <c r="C87" s="6" t="s">
        <v>16</v>
      </c>
      <c r="D87" s="7">
        <v>5694417.11</v>
      </c>
      <c r="E87" s="7">
        <v>1.336518173E7</v>
      </c>
      <c r="F87" s="7">
        <v>3.18572313E7</v>
      </c>
      <c r="G87" s="8">
        <f t="shared" si="1"/>
        <v>1.383598812</v>
      </c>
    </row>
    <row r="88" ht="15.75" customHeight="1">
      <c r="C88" s="6" t="s">
        <v>17</v>
      </c>
      <c r="D88" s="7">
        <v>3422082.7810000004</v>
      </c>
      <c r="E88" s="7">
        <v>7333408.145800011</v>
      </c>
      <c r="F88" s="7">
        <v>1.940368323690007E7</v>
      </c>
      <c r="G88" s="8">
        <f t="shared" si="1"/>
        <v>1.645929812</v>
      </c>
    </row>
    <row r="89" ht="15.75" customHeight="1">
      <c r="C89" s="6" t="s">
        <v>18</v>
      </c>
      <c r="D89" s="7">
        <v>2272334.329</v>
      </c>
      <c r="E89" s="7">
        <v>6031773.584199989</v>
      </c>
      <c r="F89" s="7">
        <v>1.2453548063099932E7</v>
      </c>
      <c r="G89" s="8">
        <f t="shared" si="1"/>
        <v>1.064657748</v>
      </c>
    </row>
    <row r="90" ht="15.75" customHeight="1">
      <c r="C90" s="6" t="s">
        <v>19</v>
      </c>
      <c r="D90" s="8">
        <v>0.3990459927864328</v>
      </c>
      <c r="E90" s="8">
        <v>0.45130501822214947</v>
      </c>
      <c r="F90" s="8">
        <v>0.390917463787882</v>
      </c>
      <c r="G90" s="8">
        <f t="shared" si="1"/>
        <v>-0.1338065211</v>
      </c>
    </row>
    <row r="91" ht="15.75" customHeight="1">
      <c r="C91" s="6" t="s">
        <v>35</v>
      </c>
      <c r="D91" s="7"/>
      <c r="E91" s="7"/>
      <c r="F91" s="7"/>
      <c r="G91" s="8" t="str">
        <f t="shared" si="1"/>
        <v> </v>
      </c>
    </row>
    <row r="92" ht="15.75" customHeight="1">
      <c r="C92" s="6" t="s">
        <v>16</v>
      </c>
      <c r="D92" s="7">
        <v>408770.79</v>
      </c>
      <c r="E92" s="7">
        <v>2792885.74</v>
      </c>
      <c r="F92" s="7">
        <v>5189452.44</v>
      </c>
      <c r="G92" s="8">
        <f t="shared" si="1"/>
        <v>0.8580969374</v>
      </c>
    </row>
    <row r="93" ht="15.75" customHeight="1">
      <c r="C93" s="6" t="s">
        <v>17</v>
      </c>
      <c r="D93" s="7">
        <v>255779.5403</v>
      </c>
      <c r="E93" s="7">
        <v>1670190.6478000083</v>
      </c>
      <c r="F93" s="7">
        <v>2980742.9290000084</v>
      </c>
      <c r="G93" s="8">
        <f t="shared" si="1"/>
        <v>0.7846722666</v>
      </c>
    </row>
    <row r="94" ht="15.75" customHeight="1">
      <c r="C94" s="6" t="s">
        <v>18</v>
      </c>
      <c r="D94" s="7">
        <v>152991.2497</v>
      </c>
      <c r="E94" s="7">
        <v>1122695.092199992</v>
      </c>
      <c r="F94" s="7">
        <v>2208709.510999992</v>
      </c>
      <c r="G94" s="8">
        <f t="shared" si="1"/>
        <v>0.9673280184</v>
      </c>
    </row>
    <row r="95" ht="15.75" customHeight="1">
      <c r="C95" s="6" t="s">
        <v>19</v>
      </c>
      <c r="D95" s="8">
        <v>0.3742714828033578</v>
      </c>
      <c r="E95" s="8">
        <v>0.4019838964840688</v>
      </c>
      <c r="F95" s="8">
        <v>0.4256151369603826</v>
      </c>
      <c r="G95" s="8">
        <f t="shared" si="1"/>
        <v>0.05878653519</v>
      </c>
    </row>
    <row r="96" ht="15.75" customHeight="1">
      <c r="C96" s="6" t="s">
        <v>36</v>
      </c>
      <c r="D96" s="7"/>
      <c r="E96" s="7"/>
      <c r="F96" s="7"/>
      <c r="G96" s="8" t="str">
        <f t="shared" si="1"/>
        <v> </v>
      </c>
    </row>
    <row r="97" ht="15.75" customHeight="1">
      <c r="C97" s="6" t="s">
        <v>16</v>
      </c>
      <c r="D97" s="7">
        <v>747761.23</v>
      </c>
      <c r="E97" s="7">
        <v>3586722.7</v>
      </c>
      <c r="F97" s="7">
        <v>1.182954696E7</v>
      </c>
      <c r="G97" s="8">
        <f t="shared" si="1"/>
        <v>2.298149299</v>
      </c>
    </row>
    <row r="98" ht="15.75" customHeight="1">
      <c r="C98" s="6" t="s">
        <v>17</v>
      </c>
      <c r="D98" s="7">
        <v>453982.1350000008</v>
      </c>
      <c r="E98" s="7">
        <v>2290794.0695000016</v>
      </c>
      <c r="F98" s="7">
        <v>6846307.865900048</v>
      </c>
      <c r="G98" s="8">
        <f t="shared" si="1"/>
        <v>1.988617771</v>
      </c>
    </row>
    <row r="99" ht="15.75" customHeight="1">
      <c r="C99" s="6" t="s">
        <v>18</v>
      </c>
      <c r="D99" s="7">
        <v>293779.09499999916</v>
      </c>
      <c r="E99" s="7">
        <v>1295928.6304999986</v>
      </c>
      <c r="F99" s="7">
        <v>4983239.094099953</v>
      </c>
      <c r="G99" s="8">
        <f t="shared" si="1"/>
        <v>2.845303651</v>
      </c>
    </row>
    <row r="100" ht="15.75" customHeight="1">
      <c r="C100" s="6" t="s">
        <v>19</v>
      </c>
      <c r="D100" s="8">
        <v>0.39287821193939026</v>
      </c>
      <c r="E100" s="8">
        <v>0.36131274673115893</v>
      </c>
      <c r="F100" s="8">
        <v>0.4212535873901254</v>
      </c>
      <c r="G100" s="8">
        <f t="shared" si="1"/>
        <v>0.1658973872</v>
      </c>
    </row>
    <row r="101" ht="15.75" customHeight="1">
      <c r="C101" s="6" t="s">
        <v>37</v>
      </c>
      <c r="D101" s="7"/>
      <c r="E101" s="7"/>
      <c r="F101" s="7"/>
      <c r="G101" s="8" t="str">
        <f t="shared" si="1"/>
        <v> </v>
      </c>
    </row>
    <row r="102" ht="15.75" customHeight="1">
      <c r="C102" s="6" t="s">
        <v>16</v>
      </c>
      <c r="D102" s="7">
        <v>1.280493797E7</v>
      </c>
      <c r="E102" s="7">
        <v>1.728354906E7</v>
      </c>
      <c r="F102" s="7">
        <v>4.896533795E7</v>
      </c>
      <c r="G102" s="8">
        <f t="shared" si="1"/>
        <v>1.833060373</v>
      </c>
    </row>
    <row r="103" ht="15.75" customHeight="1">
      <c r="C103" s="6" t="s">
        <v>17</v>
      </c>
      <c r="D103" s="7">
        <v>6717907.26399999</v>
      </c>
      <c r="E103" s="7">
        <v>1.2130354606599985E7</v>
      </c>
      <c r="F103" s="7">
        <v>3.137557406619998E7</v>
      </c>
      <c r="G103" s="8">
        <f t="shared" si="1"/>
        <v>1.586533954</v>
      </c>
    </row>
    <row r="104" ht="15.75" customHeight="1">
      <c r="C104" s="6" t="s">
        <v>18</v>
      </c>
      <c r="D104" s="7">
        <v>6087030.7060000105</v>
      </c>
      <c r="E104" s="7">
        <v>5153194.453400014</v>
      </c>
      <c r="F104" s="7">
        <v>1.7589763883800022E7</v>
      </c>
      <c r="G104" s="8">
        <f t="shared" si="1"/>
        <v>2.41337088</v>
      </c>
    </row>
    <row r="105" ht="15.75" customHeight="1">
      <c r="C105" s="6" t="s">
        <v>19</v>
      </c>
      <c r="D105" s="8">
        <v>0.4753658877739968</v>
      </c>
      <c r="E105" s="8">
        <v>0.29815603470737706</v>
      </c>
      <c r="F105" s="8">
        <v>0.35922888762171856</v>
      </c>
      <c r="G105" s="8">
        <f t="shared" si="1"/>
        <v>0.2048352064</v>
      </c>
    </row>
    <row r="106" ht="15.75" customHeight="1">
      <c r="C106" s="6" t="s">
        <v>38</v>
      </c>
      <c r="D106" s="7"/>
      <c r="E106" s="7"/>
      <c r="F106" s="7"/>
      <c r="G106" s="8" t="str">
        <f t="shared" si="1"/>
        <v> </v>
      </c>
    </row>
    <row r="107" ht="15.75" customHeight="1">
      <c r="C107" s="6" t="s">
        <v>16</v>
      </c>
      <c r="D107" s="7"/>
      <c r="E107" s="7">
        <v>1773783.69</v>
      </c>
      <c r="F107" s="7">
        <v>1.261898983E7</v>
      </c>
      <c r="G107" s="8">
        <f t="shared" si="1"/>
        <v>6.114164992</v>
      </c>
    </row>
    <row r="108" ht="15.75" customHeight="1">
      <c r="C108" s="6" t="s">
        <v>17</v>
      </c>
      <c r="D108" s="7"/>
      <c r="E108" s="7">
        <v>1105532.2399999977</v>
      </c>
      <c r="F108" s="7">
        <v>8437890.97839999</v>
      </c>
      <c r="G108" s="8">
        <f t="shared" si="1"/>
        <v>6.63242416</v>
      </c>
    </row>
    <row r="109" ht="15.75" customHeight="1">
      <c r="C109" s="6" t="s">
        <v>18</v>
      </c>
      <c r="D109" s="7"/>
      <c r="E109" s="7">
        <v>668251.4500000023</v>
      </c>
      <c r="F109" s="7">
        <v>4181098.85160001</v>
      </c>
      <c r="G109" s="8">
        <f t="shared" si="1"/>
        <v>5.256774829</v>
      </c>
    </row>
    <row r="110" ht="15.75" customHeight="1">
      <c r="C110" s="6" t="s">
        <v>19</v>
      </c>
      <c r="D110" s="8"/>
      <c r="E110" s="8">
        <v>0.3767378478939573</v>
      </c>
      <c r="F110" s="8">
        <v>0.3313338791715319</v>
      </c>
      <c r="G110" s="8">
        <f t="shared" si="1"/>
        <v>-0.1205187346</v>
      </c>
    </row>
    <row r="111" ht="15.75" customHeight="1">
      <c r="C111" s="6" t="s">
        <v>39</v>
      </c>
      <c r="D111" s="7"/>
      <c r="E111" s="7"/>
      <c r="F111" s="7"/>
      <c r="G111" s="8" t="str">
        <f t="shared" si="1"/>
        <v> </v>
      </c>
    </row>
    <row r="112" ht="15.75" customHeight="1">
      <c r="C112" s="6" t="s">
        <v>16</v>
      </c>
      <c r="D112" s="7">
        <v>53347.12</v>
      </c>
      <c r="E112" s="7">
        <v>226086.88</v>
      </c>
      <c r="F112" s="7">
        <v>1767821.3</v>
      </c>
      <c r="G112" s="8">
        <f t="shared" si="1"/>
        <v>6.819212243</v>
      </c>
    </row>
    <row r="113" ht="15.75" customHeight="1">
      <c r="C113" s="6" t="s">
        <v>17</v>
      </c>
      <c r="D113" s="7">
        <v>32923.61659999998</v>
      </c>
      <c r="E113" s="7">
        <v>126476.11150000001</v>
      </c>
      <c r="F113" s="7">
        <v>1056831.3793000022</v>
      </c>
      <c r="G113" s="8">
        <f t="shared" si="1"/>
        <v>7.355976214</v>
      </c>
    </row>
    <row r="114" ht="15.75" customHeight="1">
      <c r="C114" s="6" t="s">
        <v>18</v>
      </c>
      <c r="D114" s="7">
        <v>20423.503400000023</v>
      </c>
      <c r="E114" s="7">
        <v>99610.76849999999</v>
      </c>
      <c r="F114" s="7">
        <v>710989.9206999978</v>
      </c>
      <c r="G114" s="8">
        <f t="shared" si="1"/>
        <v>6.137681311</v>
      </c>
    </row>
    <row r="115" ht="15.75" customHeight="1">
      <c r="C115" s="6" t="s">
        <v>19</v>
      </c>
      <c r="D115" s="8">
        <v>0.38284172416430395</v>
      </c>
      <c r="E115" s="8">
        <v>0.44058624056380447</v>
      </c>
      <c r="F115" s="8">
        <v>0.4021842709441264</v>
      </c>
      <c r="G115" s="8">
        <f t="shared" si="1"/>
        <v>-0.08716107332</v>
      </c>
    </row>
    <row r="116" ht="15.75" customHeight="1">
      <c r="C116" s="6" t="s">
        <v>40</v>
      </c>
      <c r="D116" s="7"/>
      <c r="E116" s="7"/>
      <c r="F116" s="7"/>
      <c r="G116" s="8" t="str">
        <f t="shared" si="1"/>
        <v> </v>
      </c>
    </row>
    <row r="117" ht="15.75" customHeight="1">
      <c r="C117" s="6" t="s">
        <v>16</v>
      </c>
      <c r="D117" s="7">
        <v>1998158.57</v>
      </c>
      <c r="E117" s="7">
        <v>8078947.71</v>
      </c>
      <c r="F117" s="7">
        <v>3.415224424E7</v>
      </c>
      <c r="G117" s="8">
        <f t="shared" si="1"/>
        <v>3.227313441</v>
      </c>
    </row>
    <row r="118" ht="15.75" customHeight="1">
      <c r="C118" s="6" t="s">
        <v>17</v>
      </c>
      <c r="D118" s="7">
        <v>1274992.7085000004</v>
      </c>
      <c r="E118" s="7">
        <v>5321915.218400004</v>
      </c>
      <c r="F118" s="7">
        <v>1.8739462579300094E7</v>
      </c>
      <c r="G118" s="8">
        <f t="shared" si="1"/>
        <v>2.521187732</v>
      </c>
    </row>
    <row r="119" ht="15.75" customHeight="1">
      <c r="C119" s="6" t="s">
        <v>18</v>
      </c>
      <c r="D119" s="7">
        <v>723165.8614999996</v>
      </c>
      <c r="E119" s="7">
        <v>2757032.4915999956</v>
      </c>
      <c r="F119" s="7">
        <v>1.5412781660699908E7</v>
      </c>
      <c r="G119" s="8">
        <f t="shared" si="1"/>
        <v>4.590351839</v>
      </c>
    </row>
    <row r="120" ht="15.75" customHeight="1">
      <c r="C120" s="6" t="s">
        <v>19</v>
      </c>
      <c r="D120" s="8">
        <v>0.3619161523802386</v>
      </c>
      <c r="E120" s="8">
        <v>0.34126133632321726</v>
      </c>
      <c r="F120" s="8">
        <v>0.45129630581196345</v>
      </c>
      <c r="G120" s="8">
        <f t="shared" si="1"/>
        <v>0.3224360857</v>
      </c>
    </row>
    <row r="121" ht="15.75" customHeight="1">
      <c r="C121" s="6" t="s">
        <v>41</v>
      </c>
      <c r="D121" s="7"/>
      <c r="E121" s="7"/>
      <c r="F121" s="7"/>
      <c r="G121" s="8" t="str">
        <f t="shared" si="1"/>
        <v> </v>
      </c>
    </row>
    <row r="122" ht="15.75" customHeight="1">
      <c r="C122" s="6" t="s">
        <v>16</v>
      </c>
      <c r="D122" s="7">
        <v>1.152764991E7</v>
      </c>
      <c r="E122" s="7">
        <v>3.192113043E7</v>
      </c>
      <c r="F122" s="7">
        <v>8.778094654E7</v>
      </c>
      <c r="G122" s="8">
        <f t="shared" si="1"/>
        <v>1.749932266</v>
      </c>
    </row>
    <row r="123" ht="15.75" customHeight="1">
      <c r="C123" s="6" t="s">
        <v>17</v>
      </c>
      <c r="D123" s="7">
        <v>7747410.670700047</v>
      </c>
      <c r="E123" s="7">
        <v>1.9480356523699846E7</v>
      </c>
      <c r="F123" s="7">
        <v>5.531287796870001E7</v>
      </c>
      <c r="G123" s="8">
        <f t="shared" si="1"/>
        <v>1.839418154</v>
      </c>
    </row>
    <row r="124" ht="15.75" customHeight="1">
      <c r="C124" s="6" t="s">
        <v>18</v>
      </c>
      <c r="D124" s="7">
        <v>3780239.239299953</v>
      </c>
      <c r="E124" s="7">
        <v>1.2440773906300154E7</v>
      </c>
      <c r="F124" s="7">
        <v>3.24680685713E7</v>
      </c>
      <c r="G124" s="8">
        <f t="shared" si="1"/>
        <v>1.609810999</v>
      </c>
    </row>
    <row r="125" ht="15.75" customHeight="1">
      <c r="C125" s="6" t="s">
        <v>19</v>
      </c>
      <c r="D125" s="8">
        <v>0.32792800517134657</v>
      </c>
      <c r="E125" s="8">
        <v>0.3897347537106052</v>
      </c>
      <c r="F125" s="8">
        <v>0.36987603632759825</v>
      </c>
      <c r="G125" s="8">
        <f t="shared" si="1"/>
        <v>-0.05095444323</v>
      </c>
    </row>
    <row r="126" ht="15.75" customHeight="1">
      <c r="G126" s="8" t="str">
        <f t="shared" si="1"/>
        <v> </v>
      </c>
    </row>
    <row r="127" ht="15.75" customHeight="1">
      <c r="G127" s="8" t="str">
        <f t="shared" si="1"/>
        <v> </v>
      </c>
    </row>
    <row r="128" ht="15.75" customHeight="1">
      <c r="G128" s="8" t="str">
        <f t="shared" si="1"/>
        <v> </v>
      </c>
    </row>
    <row r="129" ht="15.75" customHeight="1">
      <c r="G129" s="8" t="str">
        <f t="shared" si="1"/>
        <v> </v>
      </c>
    </row>
    <row r="130" ht="15.75" customHeight="1">
      <c r="G130" s="8" t="str">
        <f t="shared" si="1"/>
        <v> </v>
      </c>
    </row>
    <row r="131" ht="15.75" customHeight="1">
      <c r="G131" s="8" t="str">
        <f t="shared" si="1"/>
        <v> </v>
      </c>
    </row>
    <row r="132" ht="15.75" customHeight="1">
      <c r="G132" s="8" t="str">
        <f t="shared" si="1"/>
        <v> </v>
      </c>
    </row>
    <row r="133" ht="15.75" customHeight="1">
      <c r="G133" s="8" t="str">
        <f t="shared" si="1"/>
        <v> </v>
      </c>
    </row>
    <row r="134" ht="15.75" customHeight="1">
      <c r="G134" s="8" t="str">
        <f t="shared" si="1"/>
        <v> </v>
      </c>
    </row>
    <row r="135" ht="15.75" customHeight="1">
      <c r="G135" s="8" t="str">
        <f t="shared" si="1"/>
        <v> </v>
      </c>
    </row>
    <row r="136" ht="15.75" customHeight="1">
      <c r="G136" s="8" t="str">
        <f t="shared" si="1"/>
        <v> </v>
      </c>
    </row>
    <row r="137" ht="15.75" customHeight="1">
      <c r="G137" s="8" t="str">
        <f t="shared" si="1"/>
        <v> </v>
      </c>
    </row>
    <row r="138" ht="15.75" customHeight="1">
      <c r="G138" s="8" t="str">
        <f t="shared" si="1"/>
        <v> </v>
      </c>
    </row>
    <row r="139" ht="15.75" customHeight="1">
      <c r="G139" s="8" t="str">
        <f t="shared" si="1"/>
        <v> </v>
      </c>
    </row>
    <row r="140" ht="15.75" customHeight="1">
      <c r="G140" s="8" t="str">
        <f t="shared" si="1"/>
        <v> </v>
      </c>
    </row>
    <row r="141" ht="15.75" customHeight="1">
      <c r="G141" s="8" t="str">
        <f t="shared" si="1"/>
        <v> </v>
      </c>
    </row>
    <row r="142" ht="15.75" customHeight="1">
      <c r="G142" s="8" t="str">
        <f t="shared" si="1"/>
        <v> </v>
      </c>
    </row>
    <row r="143" ht="15.75" customHeight="1">
      <c r="G143" s="8" t="str">
        <f t="shared" si="1"/>
        <v> </v>
      </c>
    </row>
    <row r="144" ht="15.75" customHeight="1">
      <c r="G144" s="8" t="str">
        <f t="shared" si="1"/>
        <v> </v>
      </c>
    </row>
    <row r="145" ht="15.75" customHeight="1">
      <c r="G145" s="8" t="str">
        <f t="shared" si="1"/>
        <v> </v>
      </c>
    </row>
    <row r="146" ht="15.75" customHeight="1">
      <c r="G146" s="8" t="str">
        <f t="shared" si="1"/>
        <v> </v>
      </c>
    </row>
    <row r="147" ht="15.75" customHeight="1">
      <c r="G147" s="8" t="str">
        <f t="shared" si="1"/>
        <v> </v>
      </c>
    </row>
    <row r="148" ht="15.75" customHeight="1">
      <c r="G148" s="8" t="str">
        <f t="shared" si="1"/>
        <v> </v>
      </c>
    </row>
    <row r="149" ht="15.75" customHeight="1">
      <c r="G149" s="8" t="str">
        <f t="shared" si="1"/>
        <v> </v>
      </c>
    </row>
    <row r="150" ht="15.75" customHeight="1">
      <c r="G150" s="8" t="str">
        <f t="shared" si="1"/>
        <v> </v>
      </c>
    </row>
    <row r="151" ht="15.75" customHeight="1">
      <c r="G151" s="8" t="str">
        <f t="shared" si="1"/>
        <v> </v>
      </c>
    </row>
    <row r="152" ht="15.75" customHeight="1">
      <c r="G152" s="8" t="str">
        <f t="shared" si="1"/>
        <v> </v>
      </c>
    </row>
    <row r="153" ht="15.75" customHeight="1">
      <c r="G153" s="8" t="str">
        <f t="shared" si="1"/>
        <v> </v>
      </c>
    </row>
    <row r="154" ht="15.75" customHeight="1">
      <c r="G154" s="8" t="str">
        <f t="shared" si="1"/>
        <v> </v>
      </c>
    </row>
    <row r="155" ht="15.75" customHeight="1">
      <c r="G155" s="8" t="str">
        <f t="shared" si="1"/>
        <v> </v>
      </c>
    </row>
    <row r="156" ht="15.75" customHeight="1">
      <c r="G156" s="8" t="str">
        <f t="shared" si="1"/>
        <v> </v>
      </c>
    </row>
    <row r="157" ht="15.75" customHeight="1">
      <c r="G157" s="8" t="str">
        <f t="shared" si="1"/>
        <v> </v>
      </c>
    </row>
    <row r="158" ht="15.75" customHeight="1">
      <c r="G158" s="8" t="str">
        <f t="shared" si="1"/>
        <v> </v>
      </c>
    </row>
    <row r="159" ht="15.75" customHeight="1">
      <c r="G159" s="8" t="str">
        <f t="shared" si="1"/>
        <v> </v>
      </c>
    </row>
    <row r="160" ht="15.75" customHeight="1">
      <c r="G160" s="8" t="str">
        <f t="shared" si="1"/>
        <v> </v>
      </c>
    </row>
    <row r="161" ht="15.75" customHeight="1">
      <c r="G161" s="8" t="str">
        <f t="shared" si="1"/>
        <v> </v>
      </c>
    </row>
    <row r="162" ht="15.75" customHeight="1">
      <c r="G162" s="8" t="str">
        <f t="shared" si="1"/>
        <v> </v>
      </c>
    </row>
    <row r="163" ht="15.75" customHeight="1">
      <c r="G163" s="8" t="str">
        <f t="shared" si="1"/>
        <v> </v>
      </c>
    </row>
    <row r="164" ht="15.75" customHeight="1">
      <c r="G164" s="8" t="str">
        <f t="shared" si="1"/>
        <v> </v>
      </c>
    </row>
    <row r="165" ht="15.75" customHeight="1">
      <c r="G165" s="8" t="str">
        <f t="shared" si="1"/>
        <v> </v>
      </c>
    </row>
    <row r="166" ht="15.75" customHeight="1">
      <c r="G166" s="8" t="str">
        <f t="shared" si="1"/>
        <v> </v>
      </c>
    </row>
    <row r="167" ht="15.75" customHeight="1">
      <c r="G167" s="8" t="str">
        <f t="shared" si="1"/>
        <v> </v>
      </c>
    </row>
    <row r="168" ht="15.75" customHeight="1">
      <c r="G168" s="8" t="str">
        <f t="shared" si="1"/>
        <v> </v>
      </c>
    </row>
    <row r="169" ht="15.75" customHeight="1">
      <c r="G169" s="8" t="str">
        <f t="shared" si="1"/>
        <v> </v>
      </c>
    </row>
    <row r="170" ht="15.75" customHeight="1">
      <c r="G170" s="8" t="str">
        <f t="shared" si="1"/>
        <v> </v>
      </c>
    </row>
    <row r="171" ht="15.75" customHeight="1">
      <c r="G171" s="8" t="str">
        <f t="shared" si="1"/>
        <v> </v>
      </c>
    </row>
    <row r="172" ht="15.75" customHeight="1">
      <c r="G172" s="8" t="str">
        <f t="shared" si="1"/>
        <v> </v>
      </c>
    </row>
    <row r="173" ht="15.75" customHeight="1">
      <c r="G173" s="8" t="str">
        <f t="shared" si="1"/>
        <v> </v>
      </c>
    </row>
    <row r="174" ht="15.75" customHeight="1">
      <c r="G174" s="8" t="str">
        <f t="shared" si="1"/>
        <v> </v>
      </c>
    </row>
    <row r="175" ht="15.75" customHeight="1">
      <c r="G175" s="8" t="str">
        <f t="shared" si="1"/>
        <v> </v>
      </c>
    </row>
    <row r="176" ht="15.75" customHeight="1">
      <c r="G176" s="8" t="str">
        <f t="shared" si="1"/>
        <v> </v>
      </c>
    </row>
    <row r="177" ht="15.75" customHeight="1">
      <c r="G177" s="8" t="str">
        <f t="shared" si="1"/>
        <v> </v>
      </c>
    </row>
    <row r="178" ht="15.75" customHeight="1">
      <c r="G178" s="8" t="str">
        <f t="shared" si="1"/>
        <v> </v>
      </c>
    </row>
    <row r="179" ht="15.75" customHeight="1">
      <c r="G179" s="8" t="str">
        <f t="shared" si="1"/>
        <v> </v>
      </c>
    </row>
    <row r="180" ht="15.75" customHeight="1">
      <c r="G180" s="8" t="str">
        <f t="shared" si="1"/>
        <v> </v>
      </c>
    </row>
    <row r="181" ht="15.75" customHeight="1">
      <c r="G181" s="8" t="str">
        <f t="shared" si="1"/>
        <v> </v>
      </c>
    </row>
    <row r="182" ht="15.75" customHeight="1">
      <c r="G182" s="8" t="str">
        <f t="shared" si="1"/>
        <v> </v>
      </c>
    </row>
    <row r="183" ht="15.75" customHeight="1">
      <c r="G183" s="8" t="str">
        <f t="shared" si="1"/>
        <v> </v>
      </c>
    </row>
    <row r="184" ht="15.75" customHeight="1">
      <c r="G184" s="8" t="str">
        <f t="shared" si="1"/>
        <v> </v>
      </c>
    </row>
    <row r="185" ht="15.75" customHeight="1">
      <c r="G185" s="8" t="str">
        <f t="shared" si="1"/>
        <v> 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2:F12 D17:F17 D22:F22 D27:F27 D32:F32 D37:F37 D42:F42 D47:F47 D52:F52 D57:F57 D62:F62 D67:F67 D72:F72 D77:F77 D82:F82 D87:F87 D92:F92 D97:F97 D102:F102 D107:F107 D112:F112 D117:F117 D122:F122">
    <cfRule type="colorScale" priority="1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13:F13 D18:F18 D23:F23 D28:F28 D33:F33 D38:F38 D43:F43 D48:F48 D53:F53 D58:F58 D63:F63 D68:F68 D73:F73 D78:F78 D83:F83 D88:F88 D93:F93 D98:F98 D103:F103 D108:F108 D113:F113 D118:F118 D123:F123">
    <cfRule type="colorScale" priority="2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14:F14 D19:F19 D24:F24 D29:F29 D34:F34 D39:F39 D44:F44 D49:F49 D54:F54 D59:F59 D64:F64 D69:F69 D74:F74 D79:F79 D84:F84 D89:F89 D94:F94 D99:F99 D104:F104 D109:F109 D114:F114 D119:F119 D124:F124">
    <cfRule type="colorScale" priority="3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15:F15 D20:F20 D25:F25 D30:F30 D35:F35 D40:F40 D45:F45 D50:F50 D55:F55 D60:F60 D65:F65 D70:F70 D75:F75 D80:F80 D85:F85 D90:F90 D95:F95 D100:F100 D105:F105 D110:F110 D115:F115 D120:F120 D125:F125">
    <cfRule type="colorScale" priority="4">
      <colorScale>
        <cfvo type="min"/>
        <cfvo type="percentile" val="50"/>
        <cfvo type="max"/>
        <color rgb="FFFFD88B"/>
        <color rgb="FFFFB84F"/>
        <color rgb="FFFF9900"/>
      </colorScale>
    </cfRule>
  </conditionalFormatting>
  <printOptions/>
  <pageMargins bottom="0.75" footer="0.0" header="0.0" left="0.7" right="0.7" top="0.75"/>
  <pageSetup scale="91" orientation="portrait"/>
  <headerFooter>
    <oddHeader>&amp;LAtliq Hardwares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84F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5.63"/>
    <col customWidth="1" min="3" max="3" width="14.63"/>
    <col customWidth="1" min="4" max="4" width="13.88"/>
    <col customWidth="1" min="5" max="5" width="8.88"/>
    <col customWidth="1" min="6" max="6" width="12.25"/>
    <col customWidth="1" min="7" max="7" width="9.0"/>
    <col customWidth="1" min="8" max="8" width="15.63"/>
    <col customWidth="1" min="9" max="9" width="14.25"/>
    <col customWidth="1" min="10" max="14" width="11.13"/>
    <col customWidth="1" min="15" max="16" width="12.75"/>
    <col customWidth="1" min="17" max="26" width="8.63"/>
  </cols>
  <sheetData>
    <row r="3">
      <c r="C3" s="1" t="s">
        <v>0</v>
      </c>
    </row>
    <row r="4">
      <c r="C4" s="2" t="s">
        <v>1</v>
      </c>
      <c r="D4" s="2" t="s">
        <v>2</v>
      </c>
    </row>
    <row r="5">
      <c r="C5" s="2" t="s">
        <v>4</v>
      </c>
      <c r="D5" s="2" t="s">
        <v>2</v>
      </c>
      <c r="E5" s="2"/>
      <c r="F5" s="2"/>
      <c r="G5" s="2"/>
      <c r="H5" s="3"/>
    </row>
    <row r="6">
      <c r="C6" s="2" t="s">
        <v>42</v>
      </c>
      <c r="D6" s="2" t="s">
        <v>2</v>
      </c>
      <c r="E6" s="2"/>
      <c r="F6" s="1" t="s">
        <v>3</v>
      </c>
      <c r="G6" s="1"/>
      <c r="H6" s="3"/>
    </row>
    <row r="7">
      <c r="C7" s="2" t="s">
        <v>6</v>
      </c>
      <c r="D7" s="2" t="s">
        <v>2</v>
      </c>
      <c r="E7" s="2"/>
      <c r="F7" s="1" t="s">
        <v>43</v>
      </c>
      <c r="G7" s="1"/>
      <c r="H7" s="3"/>
    </row>
    <row r="8">
      <c r="C8" s="2" t="s">
        <v>44</v>
      </c>
      <c r="D8" s="4" t="s">
        <v>11</v>
      </c>
      <c r="E8" s="2"/>
      <c r="F8" s="2" t="s">
        <v>45</v>
      </c>
      <c r="G8" s="2"/>
      <c r="H8" s="3"/>
    </row>
    <row r="9">
      <c r="C9" s="2"/>
      <c r="D9" s="2"/>
      <c r="E9" s="2"/>
      <c r="F9" s="2"/>
      <c r="G9" s="2"/>
      <c r="H9" s="3"/>
    </row>
    <row r="10">
      <c r="C10" s="2"/>
      <c r="D10" s="2" t="s">
        <v>46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>
      <c r="C11" s="2"/>
      <c r="D11" s="9" t="s">
        <v>47</v>
      </c>
      <c r="E11" s="9"/>
      <c r="F11" s="9"/>
      <c r="G11" s="9" t="s">
        <v>48</v>
      </c>
      <c r="H11" s="9"/>
      <c r="I11" s="9"/>
      <c r="J11" s="9" t="s">
        <v>49</v>
      </c>
      <c r="K11" s="9"/>
      <c r="L11" s="9"/>
      <c r="M11" s="9" t="s">
        <v>50</v>
      </c>
      <c r="N11" s="9"/>
      <c r="O11" s="9"/>
      <c r="P11" s="9" t="s">
        <v>51</v>
      </c>
    </row>
    <row r="12">
      <c r="C12" s="4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59</v>
      </c>
      <c r="K12" s="2" t="s">
        <v>60</v>
      </c>
      <c r="L12" s="2" t="s">
        <v>61</v>
      </c>
      <c r="M12" s="2" t="s">
        <v>62</v>
      </c>
      <c r="N12" s="2" t="s">
        <v>63</v>
      </c>
      <c r="O12" s="2" t="s">
        <v>64</v>
      </c>
      <c r="P12" s="9"/>
    </row>
    <row r="13">
      <c r="C13" s="6" t="s">
        <v>16</v>
      </c>
      <c r="D13" s="7">
        <v>6462654.7</v>
      </c>
      <c r="E13" s="7">
        <v>8038536.11</v>
      </c>
      <c r="F13" s="7">
        <v>1.07357915E7</v>
      </c>
      <c r="G13" s="7">
        <v>1.143677686E7</v>
      </c>
      <c r="H13" s="7">
        <v>6521144.43</v>
      </c>
      <c r="I13" s="7">
        <v>6080697.33</v>
      </c>
      <c r="J13" s="7">
        <v>6412201.4</v>
      </c>
      <c r="K13" s="7">
        <v>6321720.7</v>
      </c>
      <c r="L13" s="7">
        <v>6489651.35</v>
      </c>
      <c r="M13" s="7">
        <v>6184359.67</v>
      </c>
      <c r="N13" s="7">
        <v>6483682.74</v>
      </c>
      <c r="O13" s="7">
        <v>6311041.56</v>
      </c>
      <c r="P13" s="7">
        <v>8.747825835E7</v>
      </c>
    </row>
    <row r="14">
      <c r="C14" s="6" t="s">
        <v>17</v>
      </c>
      <c r="D14" s="7">
        <v>3821557.4640000043</v>
      </c>
      <c r="E14" s="7">
        <v>4664442.492899988</v>
      </c>
      <c r="F14" s="7">
        <v>6281190.309499993</v>
      </c>
      <c r="G14" s="7">
        <v>6703466.572100005</v>
      </c>
      <c r="H14" s="7">
        <v>3855892.6255000033</v>
      </c>
      <c r="I14" s="7">
        <v>3530328.952700005</v>
      </c>
      <c r="J14" s="7">
        <v>3754043.739599999</v>
      </c>
      <c r="K14" s="7">
        <v>3705249.2085000044</v>
      </c>
      <c r="L14" s="7">
        <v>3842514.699699994</v>
      </c>
      <c r="M14" s="7">
        <v>3587061.2112000072</v>
      </c>
      <c r="N14" s="7">
        <v>3794151.3340000017</v>
      </c>
      <c r="O14" s="7">
        <v>3698775.223600003</v>
      </c>
      <c r="P14" s="7">
        <v>5.123867383329999E7</v>
      </c>
    </row>
    <row r="15">
      <c r="C15" s="6" t="s">
        <v>18</v>
      </c>
      <c r="D15" s="7">
        <v>2641097.235999996</v>
      </c>
      <c r="E15" s="7">
        <v>3374093.6171000125</v>
      </c>
      <c r="F15" s="7">
        <v>4454601.190500007</v>
      </c>
      <c r="G15" s="7">
        <v>4733310.287899994</v>
      </c>
      <c r="H15" s="7">
        <v>2665251.8044999964</v>
      </c>
      <c r="I15" s="7">
        <v>2550368.377299995</v>
      </c>
      <c r="J15" s="7">
        <v>2658157.6604000013</v>
      </c>
      <c r="K15" s="7">
        <v>2616471.491499996</v>
      </c>
      <c r="L15" s="7">
        <v>2647136.6503000055</v>
      </c>
      <c r="M15" s="7">
        <v>2597298.4587999927</v>
      </c>
      <c r="N15" s="7">
        <v>2689531.4059999986</v>
      </c>
      <c r="O15" s="7">
        <v>2612266.3363999967</v>
      </c>
      <c r="P15" s="7">
        <v>3.623958451670001E7</v>
      </c>
    </row>
    <row r="16">
      <c r="C16" s="6" t="s">
        <v>19</v>
      </c>
      <c r="D16" s="8">
        <v>0.40867064056509095</v>
      </c>
      <c r="E16" s="8">
        <v>0.41973980970274105</v>
      </c>
      <c r="F16" s="8">
        <v>0.41492992766299597</v>
      </c>
      <c r="G16" s="8">
        <v>0.4138675035669092</v>
      </c>
      <c r="H16" s="8">
        <v>0.4087092124871089</v>
      </c>
      <c r="I16" s="8">
        <v>0.41942037876435384</v>
      </c>
      <c r="J16" s="8">
        <v>0.41454681389140413</v>
      </c>
      <c r="K16" s="8">
        <v>0.4138859680244962</v>
      </c>
      <c r="L16" s="8">
        <v>0.40790121187327044</v>
      </c>
      <c r="M16" s="8">
        <v>0.4199785583945496</v>
      </c>
      <c r="N16" s="8">
        <v>0.41481539332691014</v>
      </c>
      <c r="O16" s="8">
        <v>0.4139200022000801</v>
      </c>
      <c r="P16" s="8">
        <v>0.4142696162480241</v>
      </c>
    </row>
    <row r="17">
      <c r="G17" s="8"/>
    </row>
    <row r="18">
      <c r="G18" s="8"/>
    </row>
    <row r="19">
      <c r="C19" s="2" t="s">
        <v>1</v>
      </c>
      <c r="D19" s="2" t="s">
        <v>2</v>
      </c>
    </row>
    <row r="20">
      <c r="C20" s="2" t="s">
        <v>4</v>
      </c>
      <c r="D20" s="2" t="s">
        <v>2</v>
      </c>
      <c r="E20" s="2"/>
      <c r="F20" s="2"/>
      <c r="G20" s="2"/>
      <c r="H20" s="3"/>
    </row>
    <row r="21" ht="15.75" customHeight="1">
      <c r="C21" s="2" t="s">
        <v>42</v>
      </c>
      <c r="D21" s="2" t="s">
        <v>2</v>
      </c>
      <c r="E21" s="2"/>
      <c r="F21" s="1" t="s">
        <v>3</v>
      </c>
      <c r="G21" s="1"/>
      <c r="H21" s="3"/>
    </row>
    <row r="22" ht="15.75" customHeight="1">
      <c r="C22" s="2" t="s">
        <v>6</v>
      </c>
      <c r="D22" s="2" t="s">
        <v>2</v>
      </c>
      <c r="E22" s="2"/>
      <c r="F22" s="1" t="s">
        <v>43</v>
      </c>
      <c r="G22" s="1"/>
      <c r="H22" s="3"/>
    </row>
    <row r="23" ht="15.75" customHeight="1">
      <c r="C23" s="2" t="s">
        <v>44</v>
      </c>
      <c r="D23" s="4" t="s">
        <v>12</v>
      </c>
      <c r="E23" s="2"/>
      <c r="F23" s="2" t="s">
        <v>7</v>
      </c>
      <c r="G23" s="2"/>
      <c r="H23" s="3"/>
    </row>
    <row r="24" ht="15.75" customHeight="1">
      <c r="C24" s="2"/>
      <c r="D24" s="2"/>
      <c r="E24" s="2"/>
      <c r="F24" s="2"/>
      <c r="G24" s="2"/>
      <c r="H24" s="3"/>
    </row>
    <row r="25" ht="15.75" customHeight="1">
      <c r="C25" s="2"/>
      <c r="D25" s="2" t="s">
        <v>46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5.75" customHeight="1">
      <c r="C26" s="2"/>
      <c r="D26" s="9" t="s">
        <v>47</v>
      </c>
      <c r="E26" s="9"/>
      <c r="F26" s="9"/>
      <c r="G26" s="9" t="s">
        <v>48</v>
      </c>
      <c r="H26" s="9"/>
      <c r="I26" s="9"/>
      <c r="J26" s="9" t="s">
        <v>49</v>
      </c>
      <c r="K26" s="9"/>
      <c r="L26" s="9"/>
      <c r="M26" s="9" t="s">
        <v>50</v>
      </c>
      <c r="N26" s="9"/>
      <c r="O26" s="9"/>
      <c r="P26" s="9" t="s">
        <v>51</v>
      </c>
    </row>
    <row r="27" ht="15.75" customHeight="1">
      <c r="C27" s="4" t="s">
        <v>52</v>
      </c>
      <c r="D27" s="2" t="s">
        <v>53</v>
      </c>
      <c r="E27" s="2" t="s">
        <v>54</v>
      </c>
      <c r="F27" s="2" t="s">
        <v>55</v>
      </c>
      <c r="G27" s="2" t="s">
        <v>56</v>
      </c>
      <c r="H27" s="2" t="s">
        <v>57</v>
      </c>
      <c r="I27" s="2" t="s">
        <v>58</v>
      </c>
      <c r="J27" s="2" t="s">
        <v>59</v>
      </c>
      <c r="K27" s="2" t="s">
        <v>60</v>
      </c>
      <c r="L27" s="2" t="s">
        <v>61</v>
      </c>
      <c r="M27" s="2" t="s">
        <v>62</v>
      </c>
      <c r="N27" s="2" t="s">
        <v>63</v>
      </c>
      <c r="O27" s="2" t="s">
        <v>64</v>
      </c>
      <c r="P27" s="9"/>
    </row>
    <row r="28" ht="15.75" customHeight="1">
      <c r="C28" s="6" t="s">
        <v>16</v>
      </c>
      <c r="D28" s="7">
        <v>1.710184479E7</v>
      </c>
      <c r="E28" s="7">
        <v>2.062535316E7</v>
      </c>
      <c r="F28" s="7">
        <v>2.869306281E7</v>
      </c>
      <c r="G28" s="7">
        <v>2.990181945E7</v>
      </c>
      <c r="H28" s="7">
        <v>1.713449173E7</v>
      </c>
      <c r="I28" s="7">
        <v>1.593293842E7</v>
      </c>
      <c r="J28" s="7">
        <v>2111380.75</v>
      </c>
      <c r="K28" s="7">
        <v>7758449.87</v>
      </c>
      <c r="L28" s="7">
        <v>9932571.85</v>
      </c>
      <c r="M28" s="7">
        <v>1.48827966E7</v>
      </c>
      <c r="N28" s="7">
        <v>1.607964075E7</v>
      </c>
      <c r="O28" s="7">
        <v>1.65366029E7</v>
      </c>
      <c r="P28" s="7">
        <v>1.9669095308E8</v>
      </c>
    </row>
    <row r="29" ht="15.75" customHeight="1">
      <c r="C29" s="6" t="s">
        <v>17</v>
      </c>
      <c r="D29" s="7">
        <v>1.064292774950001E7</v>
      </c>
      <c r="E29" s="7">
        <v>1.2833528905300044E7</v>
      </c>
      <c r="F29" s="7">
        <v>1.8066375183499947E7</v>
      </c>
      <c r="G29" s="7">
        <v>1.8894707737599965E7</v>
      </c>
      <c r="H29" s="7">
        <v>1.0666133077599995E7</v>
      </c>
      <c r="I29" s="7">
        <v>9920239.583500026</v>
      </c>
      <c r="J29" s="7">
        <v>1336896.5530999997</v>
      </c>
      <c r="K29" s="7">
        <v>4831348.901199998</v>
      </c>
      <c r="L29" s="7">
        <v>6209275.356900016</v>
      </c>
      <c r="M29" s="7">
        <v>9336005.690999959</v>
      </c>
      <c r="N29" s="7">
        <v>1.0181585144699993E7</v>
      </c>
      <c r="O29" s="7">
        <v>1.0452464312899955E7</v>
      </c>
      <c r="P29" s="7">
        <v>1.233714881967999E8</v>
      </c>
    </row>
    <row r="30" ht="15.75" customHeight="1">
      <c r="C30" s="6" t="s">
        <v>18</v>
      </c>
      <c r="D30" s="7">
        <v>6458917.040499989</v>
      </c>
      <c r="E30" s="7">
        <v>7791824.254699957</v>
      </c>
      <c r="F30" s="7">
        <v>1.0626687626500051E7</v>
      </c>
      <c r="G30" s="7">
        <v>1.1007111712400034E7</v>
      </c>
      <c r="H30" s="7">
        <v>6468358.652400006</v>
      </c>
      <c r="I30" s="7">
        <v>6012698.836499974</v>
      </c>
      <c r="J30" s="7">
        <v>774484.1969000003</v>
      </c>
      <c r="K30" s="7">
        <v>2927100.968800002</v>
      </c>
      <c r="L30" s="7">
        <v>3723296.493099984</v>
      </c>
      <c r="M30" s="7">
        <v>5546790.909000041</v>
      </c>
      <c r="N30" s="7">
        <v>5898055.605300007</v>
      </c>
      <c r="O30" s="7">
        <v>6084138.587100046</v>
      </c>
      <c r="P30" s="7">
        <v>7.331946488320011E7</v>
      </c>
    </row>
    <row r="31" ht="15.75" customHeight="1">
      <c r="C31" s="6" t="s">
        <v>19</v>
      </c>
      <c r="D31" s="8">
        <v>0.37767370244622533</v>
      </c>
      <c r="E31" s="8">
        <v>0.3777789497350821</v>
      </c>
      <c r="F31" s="8">
        <v>0.37035738209155133</v>
      </c>
      <c r="G31" s="8">
        <v>0.3681084266730142</v>
      </c>
      <c r="H31" s="8">
        <v>0.3775051372591841</v>
      </c>
      <c r="I31" s="8">
        <v>0.3773753891468297</v>
      </c>
      <c r="J31" s="8">
        <v>0.36681408452738823</v>
      </c>
      <c r="K31" s="8">
        <v>0.37727909799589926</v>
      </c>
      <c r="L31" s="8">
        <v>0.3748572423465514</v>
      </c>
      <c r="M31" s="8">
        <v>0.3726981600353284</v>
      </c>
      <c r="N31" s="8">
        <v>0.36680269770952484</v>
      </c>
      <c r="O31" s="8">
        <v>0.36791949494657367</v>
      </c>
      <c r="P31" s="8">
        <v>0.37276480557485997</v>
      </c>
    </row>
    <row r="32" ht="15.75" customHeight="1">
      <c r="G32" s="8"/>
    </row>
    <row r="33" ht="15.75" customHeight="1">
      <c r="G33" s="8"/>
    </row>
    <row r="34" ht="15.75" customHeight="1">
      <c r="C34" s="2" t="s">
        <v>1</v>
      </c>
      <c r="D34" s="2" t="s">
        <v>2</v>
      </c>
    </row>
    <row r="35" ht="15.75" customHeight="1">
      <c r="C35" s="2" t="s">
        <v>4</v>
      </c>
      <c r="D35" s="2" t="s">
        <v>2</v>
      </c>
      <c r="E35" s="2"/>
      <c r="F35" s="2"/>
      <c r="G35" s="2"/>
      <c r="H35" s="3"/>
    </row>
    <row r="36" ht="15.75" customHeight="1">
      <c r="C36" s="2" t="s">
        <v>42</v>
      </c>
      <c r="D36" s="2" t="s">
        <v>2</v>
      </c>
      <c r="E36" s="2"/>
      <c r="F36" s="1" t="s">
        <v>3</v>
      </c>
      <c r="G36" s="1"/>
      <c r="H36" s="3"/>
    </row>
    <row r="37" ht="15.75" customHeight="1">
      <c r="C37" s="2" t="s">
        <v>6</v>
      </c>
      <c r="D37" s="2" t="s">
        <v>2</v>
      </c>
      <c r="E37" s="2"/>
      <c r="F37" s="1" t="s">
        <v>43</v>
      </c>
      <c r="G37" s="1"/>
      <c r="H37" s="3"/>
    </row>
    <row r="38" ht="15.75" customHeight="1">
      <c r="C38" s="2" t="s">
        <v>44</v>
      </c>
      <c r="D38" s="4" t="s">
        <v>13</v>
      </c>
      <c r="E38" s="2"/>
      <c r="F38" s="2" t="s">
        <v>7</v>
      </c>
      <c r="G38" s="2"/>
      <c r="H38" s="3"/>
    </row>
    <row r="39" ht="15.75" customHeight="1">
      <c r="C39" s="2"/>
      <c r="D39" s="2"/>
      <c r="E39" s="2"/>
      <c r="F39" s="2"/>
      <c r="G39" s="2"/>
      <c r="H39" s="3"/>
    </row>
    <row r="40" ht="15.75" customHeight="1">
      <c r="C40" s="2"/>
      <c r="D40" s="2" t="s">
        <v>46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5.75" customHeight="1">
      <c r="C41" s="2"/>
      <c r="D41" s="9" t="s">
        <v>47</v>
      </c>
      <c r="E41" s="9"/>
      <c r="F41" s="9"/>
      <c r="G41" s="9" t="s">
        <v>48</v>
      </c>
      <c r="H41" s="9"/>
      <c r="I41" s="9"/>
      <c r="J41" s="9" t="s">
        <v>49</v>
      </c>
      <c r="K41" s="9"/>
      <c r="L41" s="9"/>
      <c r="M41" s="9" t="s">
        <v>50</v>
      </c>
      <c r="N41" s="9"/>
      <c r="O41" s="9"/>
      <c r="P41" s="9" t="s">
        <v>51</v>
      </c>
    </row>
    <row r="42" ht="15.75" customHeight="1">
      <c r="C42" s="4" t="s">
        <v>52</v>
      </c>
      <c r="D42" s="2" t="s">
        <v>53</v>
      </c>
      <c r="E42" s="2" t="s">
        <v>54</v>
      </c>
      <c r="F42" s="2" t="s">
        <v>55</v>
      </c>
      <c r="G42" s="2" t="s">
        <v>56</v>
      </c>
      <c r="H42" s="2" t="s">
        <v>57</v>
      </c>
      <c r="I42" s="2" t="s">
        <v>58</v>
      </c>
      <c r="J42" s="2" t="s">
        <v>59</v>
      </c>
      <c r="K42" s="2" t="s">
        <v>60</v>
      </c>
      <c r="L42" s="2" t="s">
        <v>61</v>
      </c>
      <c r="M42" s="2" t="s">
        <v>62</v>
      </c>
      <c r="N42" s="2" t="s">
        <v>63</v>
      </c>
      <c r="O42" s="2" t="s">
        <v>64</v>
      </c>
      <c r="P42" s="9"/>
    </row>
    <row r="43" ht="15.75" customHeight="1">
      <c r="C43" s="6" t="s">
        <v>16</v>
      </c>
      <c r="D43" s="7">
        <v>4.481707008E7</v>
      </c>
      <c r="E43" s="7">
        <v>5.459163143E7</v>
      </c>
      <c r="F43" s="7">
        <v>7.43424142E7</v>
      </c>
      <c r="G43" s="7">
        <v>7.805868144E7</v>
      </c>
      <c r="H43" s="7">
        <v>4.478891631E7</v>
      </c>
      <c r="I43" s="7">
        <v>4.182307906E7</v>
      </c>
      <c r="J43" s="7">
        <v>4.395034727E7</v>
      </c>
      <c r="K43" s="7">
        <v>4.354143791E7</v>
      </c>
      <c r="L43" s="7">
        <v>4.440021592E7</v>
      </c>
      <c r="M43" s="7">
        <v>4.146886357E7</v>
      </c>
      <c r="N43" s="7">
        <v>4.404727455E7</v>
      </c>
      <c r="O43" s="7">
        <v>4.304716353E7</v>
      </c>
      <c r="P43" s="7">
        <v>5.9887709527E8</v>
      </c>
    </row>
    <row r="44" ht="15.75" customHeight="1">
      <c r="C44" s="6" t="s">
        <v>17</v>
      </c>
      <c r="D44" s="7">
        <v>2.8389759972799916E7</v>
      </c>
      <c r="E44" s="7">
        <v>3.465362785380006E7</v>
      </c>
      <c r="F44" s="7">
        <v>4.736402160289995E7</v>
      </c>
      <c r="G44" s="7">
        <v>4.975754906029998E7</v>
      </c>
      <c r="H44" s="7">
        <v>2.8360377980599813E7</v>
      </c>
      <c r="I44" s="7">
        <v>2.654356492500004E7</v>
      </c>
      <c r="J44" s="7">
        <v>2.7966289114600003E7</v>
      </c>
      <c r="K44" s="7">
        <v>2.772211639339999E7</v>
      </c>
      <c r="L44" s="7">
        <v>2.8134310449800022E7</v>
      </c>
      <c r="M44" s="7">
        <v>2.6354468709E7</v>
      </c>
      <c r="N44" s="7">
        <v>2.8027929991900075E7</v>
      </c>
      <c r="O44" s="7">
        <v>2.7440246133399956E7</v>
      </c>
      <c r="P44" s="7">
        <v>3.807142621874998E8</v>
      </c>
    </row>
    <row r="45" ht="15.75" customHeight="1">
      <c r="C45" s="6" t="s">
        <v>18</v>
      </c>
      <c r="D45" s="7">
        <v>1.6427310107200082E7</v>
      </c>
      <c r="E45" s="7">
        <v>1.993800357619994E7</v>
      </c>
      <c r="F45" s="7">
        <v>2.697839259710005E7</v>
      </c>
      <c r="G45" s="7">
        <v>2.830113237970002E7</v>
      </c>
      <c r="H45" s="7">
        <v>1.642853832940019E7</v>
      </c>
      <c r="I45" s="7">
        <v>1.527951413499996E7</v>
      </c>
      <c r="J45" s="7">
        <v>1.59840581554E7</v>
      </c>
      <c r="K45" s="7">
        <v>1.5819321516600005E7</v>
      </c>
      <c r="L45" s="7">
        <v>1.626590547019998E7</v>
      </c>
      <c r="M45" s="7">
        <v>1.5114394861000001E7</v>
      </c>
      <c r="N45" s="7">
        <v>1.6019344558099922E7</v>
      </c>
      <c r="O45" s="7">
        <v>1.5606917396600045E7</v>
      </c>
      <c r="P45" s="7">
        <v>2.1816283308250016E8</v>
      </c>
    </row>
    <row r="46" ht="15.75" customHeight="1">
      <c r="C46" s="6" t="s">
        <v>19</v>
      </c>
      <c r="D46" s="8">
        <v>0.3665413664453471</v>
      </c>
      <c r="E46" s="8">
        <v>0.3652208782543054</v>
      </c>
      <c r="F46" s="8">
        <v>0.3628936844117183</v>
      </c>
      <c r="G46" s="8">
        <v>0.3625622654342907</v>
      </c>
      <c r="H46" s="8">
        <v>0.36679919236474573</v>
      </c>
      <c r="I46" s="8">
        <v>0.3653369019789228</v>
      </c>
      <c r="J46" s="8">
        <v>0.36368445639815306</v>
      </c>
      <c r="K46" s="8">
        <v>0.3633164699176561</v>
      </c>
      <c r="L46" s="8">
        <v>0.36634744073109404</v>
      </c>
      <c r="M46" s="8">
        <v>0.3644757429990021</v>
      </c>
      <c r="N46" s="8">
        <v>0.3636852613869596</v>
      </c>
      <c r="O46" s="8">
        <v>0.3625539087081412</v>
      </c>
      <c r="P46" s="8">
        <v>0.36428648683607245</v>
      </c>
    </row>
    <row r="47" ht="15.75" customHeight="1">
      <c r="G47" s="8"/>
    </row>
    <row r="48" ht="15.75" customHeight="1">
      <c r="G48" s="8"/>
    </row>
    <row r="49" ht="15.75" customHeight="1"/>
    <row r="50" ht="15.75" customHeight="1"/>
    <row r="51" ht="15.75" customHeight="1"/>
    <row r="52" ht="15.75" customHeight="1">
      <c r="C52" s="10" t="s">
        <v>65</v>
      </c>
      <c r="G52" s="8"/>
    </row>
    <row r="53" ht="15.75" customHeight="1">
      <c r="C53" s="11" t="s">
        <v>14</v>
      </c>
      <c r="D53" s="8">
        <f t="shared" ref="D53:P53" si="1">D43/D28-1</f>
        <v>1.620598575</v>
      </c>
      <c r="E53" s="8">
        <f t="shared" si="1"/>
        <v>1.646821657</v>
      </c>
      <c r="F53" s="8">
        <f t="shared" si="1"/>
        <v>1.590954291</v>
      </c>
      <c r="G53" s="8">
        <f t="shared" si="1"/>
        <v>1.61049939</v>
      </c>
      <c r="H53" s="8">
        <f t="shared" si="1"/>
        <v>1.613962352</v>
      </c>
      <c r="I53" s="8">
        <f t="shared" si="1"/>
        <v>1.624944499</v>
      </c>
      <c r="J53" s="8">
        <f t="shared" si="1"/>
        <v>19.81592686</v>
      </c>
      <c r="K53" s="8">
        <f t="shared" si="1"/>
        <v>4.612131114</v>
      </c>
      <c r="L53" s="8">
        <f t="shared" si="1"/>
        <v>3.470163075</v>
      </c>
      <c r="M53" s="8">
        <f t="shared" si="1"/>
        <v>1.786362314</v>
      </c>
      <c r="N53" s="8">
        <f t="shared" si="1"/>
        <v>1.739319568</v>
      </c>
      <c r="O53" s="8">
        <f t="shared" si="1"/>
        <v>1.603144297</v>
      </c>
      <c r="P53" s="8">
        <f t="shared" si="1"/>
        <v>2.044761774</v>
      </c>
    </row>
    <row r="54" ht="15.75" customHeight="1">
      <c r="C54" s="11" t="s">
        <v>66</v>
      </c>
      <c r="D54" s="8">
        <f t="shared" ref="D54:P54" si="2">D28/D13-1</f>
        <v>1.646256931</v>
      </c>
      <c r="E54" s="8">
        <f t="shared" si="2"/>
        <v>1.565809605</v>
      </c>
      <c r="F54" s="8">
        <f t="shared" si="2"/>
        <v>1.672654625</v>
      </c>
      <c r="G54" s="8">
        <f t="shared" si="2"/>
        <v>1.614532033</v>
      </c>
      <c r="H54" s="8">
        <f t="shared" si="2"/>
        <v>1.627528329</v>
      </c>
      <c r="I54" s="8">
        <f t="shared" si="2"/>
        <v>1.62024856</v>
      </c>
      <c r="J54" s="8">
        <f t="shared" si="2"/>
        <v>-0.6707245112</v>
      </c>
      <c r="K54" s="8">
        <f t="shared" si="2"/>
        <v>0.2272686881</v>
      </c>
      <c r="L54" s="8">
        <f t="shared" si="2"/>
        <v>0.5305247253</v>
      </c>
      <c r="M54" s="8">
        <f t="shared" si="2"/>
        <v>1.406521838</v>
      </c>
      <c r="N54" s="8">
        <f t="shared" si="2"/>
        <v>1.480016589</v>
      </c>
      <c r="O54" s="8">
        <f t="shared" si="2"/>
        <v>1.620265251</v>
      </c>
      <c r="P54" s="8">
        <f t="shared" si="2"/>
        <v>1.248455294</v>
      </c>
    </row>
    <row r="55" ht="15.75" customHeight="1">
      <c r="G55" s="8"/>
    </row>
    <row r="56" ht="15.75" customHeight="1">
      <c r="G56" s="8"/>
    </row>
    <row r="57" ht="15.75" customHeight="1">
      <c r="G57" s="8"/>
    </row>
    <row r="58" ht="15.75" customHeight="1">
      <c r="G58" s="8"/>
    </row>
    <row r="59" ht="15.75" customHeight="1">
      <c r="G59" s="8"/>
    </row>
    <row r="60" ht="15.75" customHeight="1">
      <c r="G60" s="8"/>
    </row>
    <row r="61" ht="15.75" customHeight="1">
      <c r="G61" s="8"/>
    </row>
    <row r="62" ht="15.75" customHeight="1">
      <c r="G62" s="8"/>
    </row>
    <row r="63" ht="15.75" customHeight="1">
      <c r="G63" s="8"/>
    </row>
    <row r="64" ht="15.75" customHeight="1">
      <c r="G64" s="8"/>
    </row>
    <row r="65" ht="15.75" customHeight="1">
      <c r="G65" s="8"/>
    </row>
    <row r="66" ht="15.75" customHeight="1">
      <c r="G66" s="8"/>
    </row>
    <row r="67" ht="15.75" customHeight="1">
      <c r="G67" s="8"/>
    </row>
    <row r="68" ht="15.75" customHeight="1">
      <c r="G68" s="8"/>
    </row>
    <row r="69" ht="15.75" customHeight="1">
      <c r="G69" s="8"/>
    </row>
    <row r="70" ht="15.75" customHeight="1">
      <c r="G70" s="8"/>
    </row>
    <row r="71" ht="15.75" customHeight="1">
      <c r="G71" s="8"/>
    </row>
    <row r="72" ht="15.75" customHeight="1">
      <c r="G72" s="8"/>
    </row>
    <row r="73" ht="15.75" customHeight="1">
      <c r="G73" s="8"/>
    </row>
    <row r="74" ht="15.75" customHeight="1">
      <c r="G74" s="8"/>
    </row>
    <row r="75" ht="15.75" customHeight="1">
      <c r="G75" s="8"/>
    </row>
    <row r="76" ht="15.75" customHeight="1">
      <c r="G76" s="8"/>
    </row>
    <row r="77" ht="15.75" customHeight="1">
      <c r="G77" s="8"/>
    </row>
    <row r="78" ht="15.75" customHeight="1">
      <c r="G78" s="8"/>
    </row>
    <row r="79" ht="15.75" customHeight="1">
      <c r="G79" s="8"/>
    </row>
    <row r="80" ht="15.75" customHeight="1">
      <c r="G80" s="8"/>
    </row>
    <row r="81" ht="15.75" customHeight="1">
      <c r="G81" s="8"/>
    </row>
    <row r="82" ht="15.75" customHeight="1">
      <c r="G82" s="8"/>
    </row>
    <row r="83" ht="15.75" customHeight="1">
      <c r="G83" s="8"/>
    </row>
    <row r="84" ht="15.75" customHeight="1">
      <c r="G84" s="8"/>
    </row>
    <row r="85" ht="15.75" customHeight="1">
      <c r="G85" s="8"/>
    </row>
    <row r="86" ht="15.75" customHeight="1">
      <c r="G86" s="8"/>
    </row>
    <row r="87" ht="15.75" customHeight="1">
      <c r="G87" s="8"/>
    </row>
    <row r="88" ht="15.75" customHeight="1">
      <c r="G88" s="8"/>
    </row>
    <row r="89" ht="15.75" customHeight="1">
      <c r="G89" s="8"/>
    </row>
    <row r="90" ht="15.75" customHeight="1">
      <c r="G90" s="8"/>
    </row>
    <row r="91" ht="15.75" customHeight="1">
      <c r="G91" s="8"/>
    </row>
    <row r="92" ht="15.75" customHeight="1">
      <c r="G92" s="8"/>
    </row>
    <row r="93" ht="15.75" customHeight="1">
      <c r="G93" s="8"/>
    </row>
    <row r="94" ht="15.75" customHeight="1">
      <c r="G94" s="8"/>
    </row>
    <row r="95" ht="15.75" customHeight="1">
      <c r="G95" s="8"/>
    </row>
    <row r="96" ht="15.75" customHeight="1">
      <c r="G96" s="8"/>
    </row>
    <row r="97" ht="15.75" customHeight="1">
      <c r="G97" s="8"/>
    </row>
    <row r="98" ht="15.75" customHeight="1">
      <c r="G98" s="8"/>
    </row>
    <row r="99" ht="15.75" customHeight="1">
      <c r="G99" s="8"/>
    </row>
    <row r="100" ht="15.75" customHeight="1">
      <c r="G100" s="8"/>
    </row>
    <row r="101" ht="15.75" customHeight="1">
      <c r="G101" s="8"/>
    </row>
    <row r="102" ht="15.75" customHeight="1">
      <c r="G102" s="8"/>
    </row>
    <row r="103" ht="15.75" customHeight="1">
      <c r="G103" s="8"/>
    </row>
    <row r="104" ht="15.75" customHeight="1">
      <c r="G104" s="8"/>
    </row>
    <row r="105" ht="15.75" customHeight="1">
      <c r="G105" s="8"/>
    </row>
    <row r="106" ht="15.75" customHeight="1">
      <c r="G106" s="8"/>
    </row>
    <row r="107" ht="15.75" customHeight="1">
      <c r="G107" s="8"/>
    </row>
    <row r="108" ht="15.75" customHeight="1">
      <c r="G108" s="8"/>
    </row>
    <row r="109" ht="15.75" customHeight="1">
      <c r="G109" s="8"/>
    </row>
    <row r="110" ht="15.75" customHeight="1">
      <c r="G110" s="8"/>
    </row>
    <row r="111" ht="15.75" customHeight="1">
      <c r="G111" s="8"/>
    </row>
    <row r="112" ht="15.75" customHeight="1">
      <c r="G112" s="8"/>
    </row>
    <row r="113" ht="15.75" customHeight="1">
      <c r="G113" s="8"/>
    </row>
    <row r="114" ht="15.75" customHeight="1">
      <c r="G114" s="8"/>
    </row>
    <row r="115" ht="15.75" customHeight="1">
      <c r="G115" s="8"/>
    </row>
    <row r="116" ht="15.75" customHeight="1">
      <c r="G116" s="8"/>
    </row>
    <row r="117" ht="15.75" customHeight="1">
      <c r="G117" s="8"/>
    </row>
    <row r="118" ht="15.75" customHeight="1">
      <c r="G118" s="8"/>
    </row>
    <row r="119" ht="15.75" customHeight="1">
      <c r="G119" s="8"/>
    </row>
    <row r="120" ht="15.75" customHeight="1">
      <c r="G120" s="8"/>
    </row>
    <row r="121" ht="15.75" customHeight="1">
      <c r="G121" s="8"/>
    </row>
    <row r="122" ht="15.75" customHeight="1">
      <c r="G122" s="8"/>
    </row>
    <row r="123" ht="15.75" customHeight="1">
      <c r="G123" s="8"/>
    </row>
    <row r="124" ht="15.75" customHeight="1">
      <c r="G124" s="8"/>
    </row>
    <row r="125" ht="15.75" customHeight="1">
      <c r="G125" s="8"/>
    </row>
    <row r="126" ht="15.75" customHeight="1">
      <c r="G126" s="8"/>
    </row>
    <row r="127" ht="15.75" customHeight="1">
      <c r="G127" s="8"/>
    </row>
    <row r="128" ht="15.75" customHeight="1">
      <c r="G128" s="8"/>
    </row>
    <row r="129" ht="15.75" customHeight="1">
      <c r="G129" s="8"/>
    </row>
    <row r="130" ht="15.75" customHeight="1">
      <c r="G130" s="8"/>
    </row>
    <row r="131" ht="15.75" customHeight="1">
      <c r="G131" s="8"/>
    </row>
    <row r="132" ht="15.75" customHeight="1">
      <c r="G132" s="8"/>
    </row>
    <row r="133" ht="15.75" customHeight="1">
      <c r="G133" s="8"/>
    </row>
    <row r="134" ht="15.75" customHeight="1">
      <c r="G134" s="8"/>
    </row>
    <row r="135" ht="15.75" customHeight="1">
      <c r="G135" s="8"/>
    </row>
    <row r="136" ht="15.75" customHeight="1">
      <c r="G136" s="8"/>
    </row>
    <row r="137" ht="15.75" customHeight="1">
      <c r="G137" s="8"/>
    </row>
    <row r="138" ht="15.75" customHeight="1">
      <c r="G138" s="8"/>
    </row>
    <row r="139" ht="15.75" customHeight="1">
      <c r="G139" s="8"/>
    </row>
    <row r="140" ht="15.75" customHeight="1">
      <c r="G140" s="8"/>
    </row>
    <row r="141" ht="15.75" customHeight="1">
      <c r="G141" s="8"/>
    </row>
    <row r="142" ht="15.75" customHeight="1">
      <c r="G142" s="8"/>
    </row>
    <row r="143" ht="15.75" customHeight="1">
      <c r="G143" s="8"/>
    </row>
    <row r="144" ht="15.75" customHeight="1">
      <c r="G144" s="8"/>
    </row>
    <row r="145" ht="15.75" customHeight="1">
      <c r="G145" s="8"/>
    </row>
    <row r="146" ht="15.75" customHeight="1">
      <c r="G146" s="8"/>
    </row>
    <row r="147" ht="15.75" customHeight="1">
      <c r="G147" s="8"/>
    </row>
    <row r="148" ht="15.75" customHeight="1">
      <c r="G148" s="8"/>
    </row>
    <row r="149" ht="15.75" customHeight="1">
      <c r="G149" s="8"/>
    </row>
    <row r="150" ht="15.75" customHeight="1">
      <c r="G150" s="8"/>
    </row>
    <row r="151" ht="15.75" customHeight="1">
      <c r="G151" s="8"/>
    </row>
    <row r="152" ht="15.75" customHeight="1">
      <c r="G152" s="8"/>
    </row>
    <row r="153" ht="15.75" customHeight="1">
      <c r="G153" s="8"/>
    </row>
    <row r="154" ht="15.75" customHeight="1">
      <c r="G154" s="8"/>
    </row>
    <row r="155" ht="15.75" customHeight="1">
      <c r="G155" s="8"/>
    </row>
    <row r="156" ht="15.75" customHeight="1">
      <c r="G156" s="8"/>
    </row>
    <row r="157" ht="15.75" customHeight="1">
      <c r="G157" s="8"/>
    </row>
    <row r="158" ht="15.75" customHeight="1">
      <c r="G158" s="8"/>
    </row>
    <row r="159" ht="15.75" customHeight="1">
      <c r="G159" s="8"/>
    </row>
    <row r="160" ht="15.75" customHeight="1">
      <c r="G160" s="8"/>
    </row>
    <row r="161" ht="15.75" customHeight="1">
      <c r="G161" s="8"/>
    </row>
    <row r="162" ht="15.75" customHeight="1">
      <c r="G162" s="8"/>
    </row>
    <row r="163" ht="15.75" customHeight="1">
      <c r="G163" s="8"/>
    </row>
    <row r="164" ht="15.75" customHeight="1">
      <c r="G164" s="8"/>
    </row>
    <row r="165" ht="15.75" customHeight="1">
      <c r="G165" s="8"/>
    </row>
    <row r="166" ht="15.75" customHeight="1">
      <c r="G166" s="8"/>
    </row>
    <row r="167" ht="15.75" customHeight="1">
      <c r="G167" s="8"/>
    </row>
    <row r="168" ht="15.75" customHeight="1">
      <c r="G168" s="8"/>
    </row>
    <row r="169" ht="15.75" customHeight="1">
      <c r="G169" s="8"/>
    </row>
    <row r="170" ht="15.75" customHeight="1">
      <c r="G170" s="8"/>
    </row>
    <row r="171" ht="15.75" customHeight="1">
      <c r="G171" s="8"/>
    </row>
    <row r="172" ht="15.75" customHeight="1">
      <c r="G172" s="8"/>
    </row>
    <row r="173" ht="15.75" customHeight="1">
      <c r="G173" s="8"/>
    </row>
    <row r="174" ht="15.75" customHeight="1">
      <c r="G174" s="8"/>
    </row>
    <row r="175" ht="15.75" customHeight="1">
      <c r="G175" s="8"/>
    </row>
    <row r="176" ht="15.75" customHeight="1">
      <c r="G176" s="8"/>
    </row>
    <row r="177" ht="15.75" customHeight="1">
      <c r="G177" s="8"/>
    </row>
    <row r="178" ht="15.75" customHeight="1">
      <c r="G178" s="8"/>
    </row>
    <row r="179" ht="15.75" customHeight="1">
      <c r="G179" s="8"/>
    </row>
    <row r="180" ht="15.75" customHeight="1">
      <c r="G180" s="8"/>
    </row>
    <row r="181" ht="15.75" customHeight="1">
      <c r="G181" s="8"/>
    </row>
    <row r="182" ht="15.75" customHeight="1">
      <c r="G182" s="8"/>
    </row>
    <row r="183" ht="15.75" customHeight="1">
      <c r="G183" s="8"/>
    </row>
    <row r="184" ht="15.75" customHeight="1">
      <c r="G184" s="8"/>
    </row>
    <row r="185" ht="15.75" customHeight="1">
      <c r="G185" s="8"/>
    </row>
    <row r="186" ht="15.75" customHeight="1">
      <c r="G186" s="8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3:O13">
    <cfRule type="colorScale" priority="1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14:O14">
    <cfRule type="colorScale" priority="2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15:O15">
    <cfRule type="colorScale" priority="3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16:O16">
    <cfRule type="colorScale" priority="4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28:O28">
    <cfRule type="colorScale" priority="5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29:O29">
    <cfRule type="colorScale" priority="6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30:O30">
    <cfRule type="colorScale" priority="7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31:O31">
    <cfRule type="colorScale" priority="8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43:O43">
    <cfRule type="colorScale" priority="9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44:O44">
    <cfRule type="colorScale" priority="10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45:O45">
    <cfRule type="colorScale" priority="11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46:O46">
    <cfRule type="colorScale" priority="12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53:P53">
    <cfRule type="colorScale" priority="13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54:P54">
    <cfRule type="colorScale" priority="14">
      <colorScale>
        <cfvo type="min"/>
        <cfvo type="percentile" val="50"/>
        <cfvo type="max"/>
        <color rgb="FFFFD88B"/>
        <color rgb="FFFFB84F"/>
        <color rgb="FFFF9900"/>
      </colorScale>
    </cfRule>
  </conditionalFormatting>
  <printOptions/>
  <pageMargins bottom="0.75" footer="0.0" header="0.0" left="0.7" right="0.7" top="0.75"/>
  <pageSetup scale="91" orientation="portrait"/>
  <headerFooter>
    <oddHeader>&amp;LAtliq Hardwares 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84F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5.63"/>
    <col customWidth="1" min="3" max="3" width="18.0"/>
    <col customWidth="1" min="4" max="4" width="11.0"/>
    <col customWidth="1" min="5" max="5" width="10.13"/>
    <col customWidth="1" min="6" max="6" width="15.13"/>
    <col customWidth="1" min="7" max="7" width="19.13"/>
    <col customWidth="1" min="8" max="26" width="8.63"/>
  </cols>
  <sheetData>
    <row r="3">
      <c r="C3" s="12" t="s">
        <v>0</v>
      </c>
    </row>
    <row r="4">
      <c r="C4" s="2" t="s">
        <v>4</v>
      </c>
      <c r="D4" s="2" t="s">
        <v>2</v>
      </c>
      <c r="G4" s="1" t="s">
        <v>3</v>
      </c>
    </row>
    <row r="5">
      <c r="C5" s="2" t="s">
        <v>1</v>
      </c>
      <c r="D5" s="2" t="s">
        <v>2</v>
      </c>
      <c r="G5" s="1" t="s">
        <v>67</v>
      </c>
    </row>
    <row r="6">
      <c r="C6" s="2" t="s">
        <v>44</v>
      </c>
      <c r="D6" s="2" t="s">
        <v>2</v>
      </c>
      <c r="G6" s="11" t="s">
        <v>68</v>
      </c>
    </row>
    <row r="8">
      <c r="C8" s="5" t="s">
        <v>69</v>
      </c>
      <c r="D8" s="5" t="s">
        <v>16</v>
      </c>
      <c r="E8" s="5" t="s">
        <v>17</v>
      </c>
      <c r="F8" s="5" t="s">
        <v>18</v>
      </c>
      <c r="G8" s="5" t="s">
        <v>70</v>
      </c>
    </row>
    <row r="9">
      <c r="C9" s="6" t="s">
        <v>15</v>
      </c>
      <c r="D9" s="13">
        <v>3.556601432E7</v>
      </c>
      <c r="E9" s="13">
        <v>2.2096935732500076E7</v>
      </c>
      <c r="F9" s="13">
        <v>1.3469078587499924E7</v>
      </c>
      <c r="G9" s="14">
        <v>0.3787064377333334</v>
      </c>
    </row>
    <row r="10">
      <c r="C10" s="6" t="s">
        <v>20</v>
      </c>
      <c r="D10" s="13">
        <v>2958579.3</v>
      </c>
      <c r="E10" s="13">
        <v>2072311.5186999997</v>
      </c>
      <c r="F10" s="7">
        <v>886267.7813000001</v>
      </c>
      <c r="G10" s="15">
        <v>0.29955856897261474</v>
      </c>
    </row>
    <row r="11">
      <c r="C11" s="6" t="s">
        <v>21</v>
      </c>
      <c r="D11" s="13">
        <v>9689321.3</v>
      </c>
      <c r="E11" s="13">
        <v>6255944.731300023</v>
      </c>
      <c r="F11" s="7">
        <v>3433376.5686999774</v>
      </c>
      <c r="G11" s="15">
        <v>0.35434644619535705</v>
      </c>
    </row>
    <row r="12">
      <c r="C12" s="6" t="s">
        <v>22</v>
      </c>
      <c r="D12" s="13">
        <v>5.199402289E7</v>
      </c>
      <c r="E12" s="13">
        <v>3.1512932555700067E7</v>
      </c>
      <c r="F12" s="7">
        <v>2.0481090334299933E7</v>
      </c>
      <c r="G12" s="15">
        <v>0.3939123998470035</v>
      </c>
    </row>
    <row r="13">
      <c r="C13" s="6" t="s">
        <v>23</v>
      </c>
      <c r="D13" s="13">
        <v>2.973562167E7</v>
      </c>
      <c r="E13" s="13">
        <v>1.759693595300002E7</v>
      </c>
      <c r="F13" s="7">
        <v>1.2138685716999982E7</v>
      </c>
      <c r="G13" s="15">
        <v>0.4082203443302008</v>
      </c>
    </row>
    <row r="14">
      <c r="C14" s="6" t="s">
        <v>24</v>
      </c>
      <c r="D14" s="13">
        <v>3.745240458E7</v>
      </c>
      <c r="E14" s="13">
        <v>2.1233409201800045E7</v>
      </c>
      <c r="F14" s="7">
        <v>1.6218995378199954E7</v>
      </c>
      <c r="G14" s="15">
        <v>0.4330561831765824</v>
      </c>
    </row>
    <row r="15">
      <c r="C15" s="6" t="s">
        <v>25</v>
      </c>
      <c r="D15" s="13">
        <v>1.92552762E7</v>
      </c>
      <c r="E15" s="13">
        <v>1.3495291670499977E7</v>
      </c>
      <c r="F15" s="7">
        <v>5759984.5295000225</v>
      </c>
      <c r="G15" s="15">
        <v>0.29913798533308095</v>
      </c>
    </row>
    <row r="16">
      <c r="C16" s="6" t="s">
        <v>26</v>
      </c>
      <c r="D16" s="13">
        <v>2.4185109003E8</v>
      </c>
      <c r="E16" s="13">
        <v>1.6115962554749995E8</v>
      </c>
      <c r="F16" s="7">
        <v>8.069146448250005E7</v>
      </c>
      <c r="G16" s="15">
        <v>0.3336411031783682</v>
      </c>
    </row>
    <row r="17">
      <c r="C17" s="6" t="s">
        <v>27</v>
      </c>
      <c r="D17" s="13">
        <v>2.71457218E7</v>
      </c>
      <c r="E17" s="13">
        <v>1.634867773110001E7</v>
      </c>
      <c r="F17" s="7">
        <v>1.0797044068899991E7</v>
      </c>
      <c r="G17" s="15">
        <v>0.39774385623078146</v>
      </c>
    </row>
    <row r="18">
      <c r="C18" s="6" t="s">
        <v>28</v>
      </c>
      <c r="D18" s="13">
        <v>1.908533488E7</v>
      </c>
      <c r="E18" s="13">
        <v>1.2860072601000013E7</v>
      </c>
      <c r="F18" s="7">
        <v>6225262.278999986</v>
      </c>
      <c r="G18" s="15">
        <v>0.3261804059578538</v>
      </c>
    </row>
    <row r="19">
      <c r="C19" s="6" t="s">
        <v>29</v>
      </c>
      <c r="D19" s="13">
        <v>9803478.61</v>
      </c>
      <c r="E19" s="13">
        <v>5422872.815399999</v>
      </c>
      <c r="F19" s="7">
        <v>4380605.794600001</v>
      </c>
      <c r="G19" s="15">
        <v>0.4468419801652427</v>
      </c>
    </row>
    <row r="20">
      <c r="C20" s="6" t="s">
        <v>30</v>
      </c>
      <c r="D20" s="13">
        <v>1.156559138E7</v>
      </c>
      <c r="E20" s="13">
        <v>6523858.342000023</v>
      </c>
      <c r="F20" s="7">
        <v>5041733.037999977</v>
      </c>
      <c r="G20" s="15">
        <v>0.4359252261599421</v>
      </c>
    </row>
    <row r="21" ht="15.75" customHeight="1">
      <c r="C21" s="6" t="s">
        <v>31</v>
      </c>
      <c r="D21" s="13">
        <v>1.338759656E7</v>
      </c>
      <c r="E21" s="13">
        <v>7365506.103799989</v>
      </c>
      <c r="F21" s="7">
        <v>6022090.456200011</v>
      </c>
      <c r="G21" s="15">
        <v>0.4498261080105338</v>
      </c>
    </row>
    <row r="22" ht="15.75" customHeight="1">
      <c r="C22" s="6" t="s">
        <v>32</v>
      </c>
      <c r="D22" s="13">
        <v>1.61560891E7</v>
      </c>
      <c r="E22" s="13">
        <v>1.1188543725499993E7</v>
      </c>
      <c r="F22" s="7">
        <v>4967545.374500006</v>
      </c>
      <c r="G22" s="15">
        <v>0.30747202146217467</v>
      </c>
    </row>
    <row r="23" ht="15.75" customHeight="1">
      <c r="C23" s="6" t="s">
        <v>33</v>
      </c>
      <c r="D23" s="13">
        <v>1.097526288E7</v>
      </c>
      <c r="E23" s="13">
        <v>6674028.7047000015</v>
      </c>
      <c r="F23" s="7">
        <v>4301234.175299999</v>
      </c>
      <c r="G23" s="15">
        <v>0.3919026106552811</v>
      </c>
    </row>
    <row r="24" ht="15.75" customHeight="1">
      <c r="C24" s="6" t="s">
        <v>34</v>
      </c>
      <c r="D24" s="13">
        <v>5.091683014E7</v>
      </c>
      <c r="E24" s="13">
        <v>3.01591741637001E7</v>
      </c>
      <c r="F24" s="7">
        <v>2.07576559762999E7</v>
      </c>
      <c r="G24" s="15">
        <v>0.4076776955522373</v>
      </c>
    </row>
    <row r="25" ht="15.75" customHeight="1">
      <c r="C25" s="6" t="s">
        <v>35</v>
      </c>
      <c r="D25" s="13">
        <v>8391108.97</v>
      </c>
      <c r="E25" s="13">
        <v>4906713.117100004</v>
      </c>
      <c r="F25" s="7">
        <v>3484395.8528999966</v>
      </c>
      <c r="G25" s="15">
        <v>0.4152485524091575</v>
      </c>
    </row>
    <row r="26" ht="15.75" customHeight="1">
      <c r="C26" s="6" t="s">
        <v>36</v>
      </c>
      <c r="D26" s="13">
        <v>1.616403089E7</v>
      </c>
      <c r="E26" s="13">
        <v>9591084.070399972</v>
      </c>
      <c r="F26" s="7">
        <v>6572946.819600029</v>
      </c>
      <c r="G26" s="15">
        <v>0.406640327795119</v>
      </c>
    </row>
    <row r="27" ht="15.75" customHeight="1">
      <c r="C27" s="6" t="s">
        <v>37</v>
      </c>
      <c r="D27" s="13">
        <v>7.905382498E7</v>
      </c>
      <c r="E27" s="13">
        <v>5.022383593679984E7</v>
      </c>
      <c r="F27" s="7">
        <v>2.8829989043200165E7</v>
      </c>
      <c r="G27" s="15">
        <v>0.3646880976409924</v>
      </c>
    </row>
    <row r="28" ht="15.75" customHeight="1">
      <c r="C28" s="6" t="s">
        <v>38</v>
      </c>
      <c r="D28" s="13">
        <v>1.439277352E7</v>
      </c>
      <c r="E28" s="13">
        <v>9543423.218399992</v>
      </c>
      <c r="F28" s="7">
        <v>4849350.301600007</v>
      </c>
      <c r="G28" s="15">
        <v>0.3369295219480399</v>
      </c>
    </row>
    <row r="29" ht="15.75" customHeight="1">
      <c r="C29" s="6" t="s">
        <v>39</v>
      </c>
      <c r="D29" s="13">
        <v>2047255.3</v>
      </c>
      <c r="E29" s="13">
        <v>1216231.1074000013</v>
      </c>
      <c r="F29" s="7">
        <v>831024.1925999988</v>
      </c>
      <c r="G29" s="15">
        <v>0.4059211338224396</v>
      </c>
    </row>
    <row r="30" ht="15.75" customHeight="1">
      <c r="C30" s="6" t="s">
        <v>40</v>
      </c>
      <c r="D30" s="13">
        <v>4.422935052E7</v>
      </c>
      <c r="E30" s="13">
        <v>2.5336370506200053E7</v>
      </c>
      <c r="F30" s="7">
        <v>1.889298001379995E7</v>
      </c>
      <c r="G30" s="15">
        <v>0.42715933631575176</v>
      </c>
    </row>
    <row r="31" ht="15.75" customHeight="1">
      <c r="C31" s="6" t="s">
        <v>41</v>
      </c>
      <c r="D31" s="13">
        <v>1.3122972688E8</v>
      </c>
      <c r="E31" s="13">
        <v>8.254064516309968E7</v>
      </c>
      <c r="F31" s="7">
        <v>4.868908171690032E7</v>
      </c>
      <c r="G31" s="16">
        <v>0.37102174083942835</v>
      </c>
    </row>
    <row r="32" ht="15.75" customHeight="1">
      <c r="C32" s="17" t="s">
        <v>51</v>
      </c>
      <c r="D32" s="18">
        <v>8.830463067E8</v>
      </c>
      <c r="E32" s="18">
        <v>5.553244242176E8</v>
      </c>
      <c r="F32" s="18">
        <v>3.2772188248240006E8</v>
      </c>
      <c r="G32" s="19">
        <v>0.37112649698645755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9:D31">
    <cfRule type="colorScale" priority="1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E9:E31">
    <cfRule type="colorScale" priority="2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F9:F31">
    <cfRule type="colorScale" priority="3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G9:G31">
    <cfRule type="colorScale" priority="4">
      <colorScale>
        <cfvo type="min"/>
        <cfvo type="percentile" val="50"/>
        <cfvo type="max"/>
        <color rgb="FFFFD88B"/>
        <color rgb="FFFFB84F"/>
        <color rgb="FFFF9900"/>
      </colorScale>
    </cfRule>
  </conditionalFormatting>
  <printOptions/>
  <pageMargins bottom="0.75" footer="0.0" header="0.0" left="0.7" right="0.7" top="0.75"/>
  <pageSetup scale="91" orientation="portrait"/>
  <headerFooter>
    <oddHeader>&amp;LAtliq Hardwares 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84F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5.63"/>
    <col customWidth="1" min="3" max="3" width="14.63"/>
    <col customWidth="1" min="4" max="4" width="13.88"/>
    <col customWidth="1" min="5" max="7" width="10.25"/>
    <col customWidth="1" min="8" max="8" width="15.63"/>
    <col customWidth="1" min="9" max="9" width="14.25"/>
    <col customWidth="1" min="10" max="14" width="11.13"/>
    <col customWidth="1" min="15" max="16" width="12.75"/>
    <col customWidth="1" min="17" max="26" width="8.63"/>
  </cols>
  <sheetData>
    <row r="4">
      <c r="F4" s="1" t="s">
        <v>71</v>
      </c>
      <c r="G4" s="1"/>
      <c r="H4" s="2"/>
    </row>
    <row r="5">
      <c r="E5" s="2"/>
      <c r="F5" s="1" t="s">
        <v>72</v>
      </c>
      <c r="G5" s="1"/>
      <c r="H5" s="2"/>
    </row>
    <row r="6">
      <c r="C6" s="2"/>
      <c r="D6" s="2"/>
      <c r="E6" s="2"/>
      <c r="F6" s="2" t="s">
        <v>73</v>
      </c>
      <c r="G6" s="2"/>
      <c r="H6" s="2"/>
    </row>
    <row r="7">
      <c r="C7" s="1" t="s">
        <v>0</v>
      </c>
      <c r="D7" s="2"/>
      <c r="E7" s="2"/>
    </row>
    <row r="8">
      <c r="C8" s="2" t="s">
        <v>44</v>
      </c>
      <c r="D8" s="20" t="s">
        <v>11</v>
      </c>
      <c r="E8" s="2"/>
    </row>
    <row r="9">
      <c r="C9" s="2"/>
      <c r="D9" s="2"/>
      <c r="E9" s="2"/>
      <c r="F9" s="2"/>
      <c r="G9" s="2"/>
      <c r="H9" s="2"/>
    </row>
    <row r="10">
      <c r="C10" s="2" t="s">
        <v>19</v>
      </c>
      <c r="D10" s="2" t="s">
        <v>46</v>
      </c>
      <c r="E10" s="2"/>
      <c r="F10" s="2"/>
      <c r="G10" s="2"/>
      <c r="H10" s="2"/>
    </row>
    <row r="11">
      <c r="C11" s="21" t="s">
        <v>74</v>
      </c>
      <c r="D11" s="22" t="s">
        <v>47</v>
      </c>
      <c r="E11" s="22" t="s">
        <v>48</v>
      </c>
      <c r="F11" s="22" t="s">
        <v>49</v>
      </c>
      <c r="G11" s="22" t="s">
        <v>50</v>
      </c>
      <c r="H11" s="22" t="s">
        <v>51</v>
      </c>
    </row>
    <row r="12">
      <c r="C12" s="6" t="s">
        <v>75</v>
      </c>
      <c r="D12" s="23">
        <v>0.42976508165700855</v>
      </c>
      <c r="E12" s="23">
        <v>0.42203612922769135</v>
      </c>
      <c r="F12" s="23">
        <v>0.4259177733306784</v>
      </c>
      <c r="G12" s="23">
        <v>0.4245547753038482</v>
      </c>
      <c r="H12" s="23">
        <v>0.42566706554682765</v>
      </c>
    </row>
    <row r="13">
      <c r="C13" s="6" t="s">
        <v>26</v>
      </c>
      <c r="D13" s="23">
        <v>0.4253682694056678</v>
      </c>
      <c r="E13" s="23">
        <v>0.4224982179800323</v>
      </c>
      <c r="F13" s="23">
        <v>0.42044767349741946</v>
      </c>
      <c r="G13" s="23">
        <v>0.42537682430396784</v>
      </c>
      <c r="H13" s="23">
        <v>0.4235211470222332</v>
      </c>
    </row>
    <row r="14">
      <c r="C14" s="6" t="s">
        <v>76</v>
      </c>
      <c r="D14" s="23">
        <v>0.35145535174740683</v>
      </c>
      <c r="E14" s="23">
        <v>0.3541834456550078</v>
      </c>
      <c r="F14" s="23">
        <v>0.3535995825271627</v>
      </c>
      <c r="G14" s="23">
        <v>0.3571907935200783</v>
      </c>
      <c r="H14" s="23">
        <v>0.35389516812371036</v>
      </c>
    </row>
    <row r="15">
      <c r="C15" s="6" t="s">
        <v>77</v>
      </c>
      <c r="D15" s="23">
        <v>0.36594634899726797</v>
      </c>
      <c r="E15" s="23">
        <v>0.37009948198457093</v>
      </c>
      <c r="F15" s="23">
        <v>0.36542699525454153</v>
      </c>
      <c r="G15" s="23">
        <v>0.3655829449737836</v>
      </c>
      <c r="H15" s="23">
        <v>0.3669424939914621</v>
      </c>
    </row>
    <row r="16">
      <c r="C16" s="6" t="s">
        <v>78</v>
      </c>
      <c r="D16" s="23">
        <v>0.4450724313089639</v>
      </c>
      <c r="E16" s="23">
        <v>0.44345630135973646</v>
      </c>
      <c r="F16" s="23">
        <v>0.4404966189294487</v>
      </c>
      <c r="G16" s="23">
        <v>0.4448038626094886</v>
      </c>
      <c r="H16" s="23">
        <v>0.4435201048921081</v>
      </c>
    </row>
    <row r="17">
      <c r="C17" s="6" t="s">
        <v>79</v>
      </c>
      <c r="D17" s="23">
        <v>0.4451918962190141</v>
      </c>
      <c r="E17" s="23">
        <v>0.4405493084942715</v>
      </c>
      <c r="F17" s="23">
        <v>0.4400504202334563</v>
      </c>
      <c r="G17" s="23">
        <v>0.4415740895623627</v>
      </c>
      <c r="H17" s="23">
        <v>0.44207311752031125</v>
      </c>
    </row>
    <row r="18">
      <c r="C18" s="17" t="s">
        <v>51</v>
      </c>
      <c r="D18" s="24">
        <v>0.4148591109267221</v>
      </c>
      <c r="E18" s="24">
        <v>0.4138728030496117</v>
      </c>
      <c r="F18" s="24">
        <v>0.4120860163072336</v>
      </c>
      <c r="G18" s="24">
        <v>0.41620007655195507</v>
      </c>
      <c r="H18" s="24">
        <v>0.4142696162480241</v>
      </c>
    </row>
    <row r="21" ht="15.75" customHeight="1">
      <c r="C21" s="2" t="s">
        <v>44</v>
      </c>
      <c r="D21" s="20" t="s">
        <v>12</v>
      </c>
      <c r="E21" s="2"/>
      <c r="F21" s="2" t="s">
        <v>73</v>
      </c>
      <c r="G21" s="2"/>
      <c r="H21" s="2"/>
    </row>
    <row r="22" ht="15.75" customHeight="1">
      <c r="C22" s="2"/>
      <c r="D22" s="2"/>
      <c r="E22" s="2"/>
      <c r="F22" s="2"/>
      <c r="G22" s="2"/>
      <c r="H22" s="2"/>
    </row>
    <row r="23" ht="15.75" customHeight="1">
      <c r="C23" s="2" t="s">
        <v>19</v>
      </c>
      <c r="D23" s="2" t="s">
        <v>46</v>
      </c>
      <c r="E23" s="2"/>
      <c r="F23" s="2"/>
      <c r="G23" s="2"/>
      <c r="H23" s="2"/>
    </row>
    <row r="24" ht="15.75" customHeight="1">
      <c r="C24" s="21" t="s">
        <v>74</v>
      </c>
      <c r="D24" s="22" t="s">
        <v>47</v>
      </c>
      <c r="E24" s="22" t="s">
        <v>48</v>
      </c>
      <c r="F24" s="22" t="s">
        <v>49</v>
      </c>
      <c r="G24" s="22" t="s">
        <v>50</v>
      </c>
      <c r="H24" s="22" t="s">
        <v>51</v>
      </c>
    </row>
    <row r="25" ht="15.75" customHeight="1">
      <c r="C25" s="6" t="s">
        <v>75</v>
      </c>
      <c r="D25" s="23">
        <v>0.43336338583084366</v>
      </c>
      <c r="E25" s="23">
        <v>0.4304203478566798</v>
      </c>
      <c r="F25" s="23">
        <v>0.42767469263300456</v>
      </c>
      <c r="G25" s="23">
        <v>0.4179178727201694</v>
      </c>
      <c r="H25" s="23">
        <v>0.42823980251923854</v>
      </c>
    </row>
    <row r="26" ht="15.75" customHeight="1">
      <c r="C26" s="6" t="s">
        <v>26</v>
      </c>
      <c r="D26" s="23">
        <v>0.3234803496780372</v>
      </c>
      <c r="E26" s="23">
        <v>0.3212992858729987</v>
      </c>
      <c r="F26" s="23">
        <v>0.3244215032314631</v>
      </c>
      <c r="G26" s="23">
        <v>0.32027940420333767</v>
      </c>
      <c r="H26" s="23">
        <v>0.3220732926946861</v>
      </c>
    </row>
    <row r="27" ht="15.75" customHeight="1">
      <c r="C27" s="6" t="s">
        <v>76</v>
      </c>
      <c r="D27" s="23">
        <v>0.3986834988698031</v>
      </c>
      <c r="E27" s="23">
        <v>0.40058959078858974</v>
      </c>
      <c r="F27" s="23">
        <v>0.391145430587926</v>
      </c>
      <c r="G27" s="23">
        <v>0.3966921724278786</v>
      </c>
      <c r="H27" s="23">
        <v>0.3978451713863587</v>
      </c>
    </row>
    <row r="28" ht="15.75" customHeight="1">
      <c r="C28" s="6" t="s">
        <v>77</v>
      </c>
      <c r="D28" s="23">
        <v>0.37647924219724294</v>
      </c>
      <c r="E28" s="23">
        <v>0.37844477203447235</v>
      </c>
      <c r="F28" s="23">
        <v>0.38509968246931414</v>
      </c>
      <c r="G28" s="23">
        <v>0.37741001000113983</v>
      </c>
      <c r="H28" s="23">
        <v>0.37811767762925313</v>
      </c>
    </row>
    <row r="29" ht="15.75" customHeight="1">
      <c r="C29" s="6" t="s">
        <v>78</v>
      </c>
      <c r="D29" s="23">
        <v>0.38413370256303286</v>
      </c>
      <c r="E29" s="23">
        <v>0.38292638802218437</v>
      </c>
      <c r="F29" s="23">
        <v>0.3877878086898516</v>
      </c>
      <c r="G29" s="23">
        <v>0.37689561964491075</v>
      </c>
      <c r="H29" s="23">
        <v>0.3823447668382193</v>
      </c>
    </row>
    <row r="30" ht="15.75" customHeight="1">
      <c r="C30" s="6" t="s">
        <v>79</v>
      </c>
      <c r="D30" s="23">
        <v>0.38458368306700247</v>
      </c>
      <c r="E30" s="23">
        <v>0.37283218324694023</v>
      </c>
      <c r="F30" s="23">
        <v>0.3815639324047932</v>
      </c>
      <c r="G30" s="23">
        <v>0.3778272249326969</v>
      </c>
      <c r="H30" s="23">
        <v>0.3789772168269889</v>
      </c>
    </row>
    <row r="31" ht="15.75" customHeight="1">
      <c r="C31" s="17" t="s">
        <v>51</v>
      </c>
      <c r="D31" s="24">
        <v>0.3745457882436051</v>
      </c>
      <c r="E31" s="24">
        <v>0.37301014940632254</v>
      </c>
      <c r="F31" s="24">
        <v>0.3749485280913991</v>
      </c>
      <c r="G31" s="24">
        <v>0.36903872181712327</v>
      </c>
      <c r="H31" s="24">
        <v>0.37276480557485997</v>
      </c>
    </row>
    <row r="32" ht="15.75" customHeight="1"/>
    <row r="33" ht="15.75" customHeight="1"/>
    <row r="34" ht="15.75" customHeight="1">
      <c r="C34" s="2" t="s">
        <v>44</v>
      </c>
      <c r="D34" s="20" t="s">
        <v>13</v>
      </c>
      <c r="E34" s="2"/>
      <c r="F34" s="2" t="s">
        <v>73</v>
      </c>
      <c r="G34" s="2"/>
      <c r="H34" s="2"/>
    </row>
    <row r="35" ht="15.75" customHeight="1">
      <c r="C35" s="2"/>
      <c r="D35" s="2"/>
      <c r="E35" s="2"/>
      <c r="F35" s="2"/>
      <c r="G35" s="2"/>
      <c r="H35" s="2"/>
    </row>
    <row r="36" ht="15.75" customHeight="1">
      <c r="C36" s="2" t="s">
        <v>19</v>
      </c>
      <c r="D36" s="2" t="s">
        <v>46</v>
      </c>
      <c r="E36" s="2"/>
      <c r="F36" s="2"/>
      <c r="G36" s="2"/>
      <c r="H36" s="2"/>
    </row>
    <row r="37" ht="15.75" customHeight="1">
      <c r="C37" s="21" t="s">
        <v>74</v>
      </c>
      <c r="D37" s="22" t="s">
        <v>47</v>
      </c>
      <c r="E37" s="22" t="s">
        <v>48</v>
      </c>
      <c r="F37" s="22" t="s">
        <v>49</v>
      </c>
      <c r="G37" s="22" t="s">
        <v>50</v>
      </c>
      <c r="H37" s="22" t="s">
        <v>51</v>
      </c>
    </row>
    <row r="38" ht="15.75" customHeight="1">
      <c r="C38" s="6" t="s">
        <v>75</v>
      </c>
      <c r="D38" s="23">
        <v>0.38989787694631484</v>
      </c>
      <c r="E38" s="23">
        <v>0.37846480544186994</v>
      </c>
      <c r="F38" s="23">
        <v>0.38269200230549066</v>
      </c>
      <c r="G38" s="23">
        <v>0.38002904199264576</v>
      </c>
      <c r="H38" s="23">
        <v>0.38308437901058184</v>
      </c>
    </row>
    <row r="39" ht="15.75" customHeight="1">
      <c r="C39" s="6" t="s">
        <v>26</v>
      </c>
      <c r="D39" s="23">
        <v>0.32265661321567757</v>
      </c>
      <c r="E39" s="23">
        <v>0.318107454230201</v>
      </c>
      <c r="F39" s="23">
        <v>0.319201025839788</v>
      </c>
      <c r="G39" s="23">
        <v>0.31971816063025227</v>
      </c>
      <c r="H39" s="23">
        <v>0.32003445677314946</v>
      </c>
    </row>
    <row r="40" ht="15.75" customHeight="1">
      <c r="C40" s="6" t="s">
        <v>76</v>
      </c>
      <c r="D40" s="23">
        <v>0.3709763140134929</v>
      </c>
      <c r="E40" s="23">
        <v>0.37445340838407365</v>
      </c>
      <c r="F40" s="23">
        <v>0.3746646432088372</v>
      </c>
      <c r="G40" s="23">
        <v>0.3738512699678259</v>
      </c>
      <c r="H40" s="23">
        <v>0.3733541144522058</v>
      </c>
    </row>
    <row r="41" ht="15.75" customHeight="1">
      <c r="C41" s="6" t="s">
        <v>77</v>
      </c>
      <c r="D41" s="23">
        <v>0.37881068797678197</v>
      </c>
      <c r="E41" s="23">
        <v>0.38715787605742846</v>
      </c>
      <c r="F41" s="23">
        <v>0.3824992292580939</v>
      </c>
      <c r="G41" s="23">
        <v>0.3831347975371269</v>
      </c>
      <c r="H41" s="23">
        <v>0.38288781933827104</v>
      </c>
    </row>
    <row r="42" ht="15.75" customHeight="1">
      <c r="C42" s="6" t="s">
        <v>78</v>
      </c>
      <c r="D42" s="23">
        <v>0.38475217925862115</v>
      </c>
      <c r="E42" s="23">
        <v>0.38440492866947307</v>
      </c>
      <c r="F42" s="23">
        <v>0.38124285648119954</v>
      </c>
      <c r="G42" s="23">
        <v>0.3812110217350605</v>
      </c>
      <c r="H42" s="23">
        <v>0.38309120133643704</v>
      </c>
    </row>
    <row r="43" ht="15.75" customHeight="1">
      <c r="C43" s="6" t="s">
        <v>79</v>
      </c>
      <c r="D43" s="23">
        <v>0.38638417514412204</v>
      </c>
      <c r="E43" s="23">
        <v>0.3828593742024168</v>
      </c>
      <c r="F43" s="23">
        <v>0.3859997696939964</v>
      </c>
      <c r="G43" s="23">
        <v>0.38480075989852136</v>
      </c>
      <c r="H43" s="23">
        <v>0.38500851563078425</v>
      </c>
    </row>
    <row r="44" ht="15.75" customHeight="1">
      <c r="C44" s="17" t="s">
        <v>51</v>
      </c>
      <c r="D44" s="24">
        <v>0.36456575269550584</v>
      </c>
      <c r="E44" s="24">
        <v>0.364419373300687</v>
      </c>
      <c r="F44" s="24">
        <v>0.3644594421291253</v>
      </c>
      <c r="G44" s="24">
        <v>0.36356142239522177</v>
      </c>
      <c r="H44" s="24">
        <v>0.36428648683607245</v>
      </c>
    </row>
    <row r="45" ht="15.75" customHeight="1"/>
    <row r="46" ht="15.75" customHeight="1"/>
    <row r="47" ht="15.75" customHeight="1">
      <c r="G47" s="8"/>
    </row>
    <row r="48" ht="15.75" customHeight="1">
      <c r="G48" s="8"/>
    </row>
    <row r="49" ht="15.75" customHeight="1"/>
    <row r="50" ht="15.75" customHeight="1"/>
    <row r="51" ht="15.75" customHeight="1"/>
    <row r="52" ht="15.75" customHeight="1">
      <c r="C52" s="10"/>
      <c r="G52" s="8"/>
    </row>
    <row r="53" ht="15.75" customHeight="1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ht="15.75" customHeight="1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ht="15.75" customHeight="1">
      <c r="G55" s="8"/>
    </row>
    <row r="56" ht="15.75" customHeight="1">
      <c r="G56" s="8"/>
    </row>
    <row r="57" ht="15.75" customHeight="1">
      <c r="G57" s="8"/>
    </row>
    <row r="58" ht="15.75" customHeight="1">
      <c r="G58" s="8"/>
    </row>
    <row r="59" ht="15.75" customHeight="1">
      <c r="G59" s="8"/>
    </row>
    <row r="60" ht="15.75" customHeight="1">
      <c r="G60" s="8"/>
    </row>
    <row r="61" ht="15.75" customHeight="1">
      <c r="G61" s="8"/>
    </row>
    <row r="62" ht="15.75" customHeight="1">
      <c r="G62" s="8"/>
    </row>
    <row r="63" ht="15.75" customHeight="1">
      <c r="G63" s="8"/>
    </row>
    <row r="64" ht="15.75" customHeight="1">
      <c r="G64" s="8"/>
    </row>
    <row r="65" ht="15.75" customHeight="1">
      <c r="G65" s="8"/>
    </row>
    <row r="66" ht="15.75" customHeight="1">
      <c r="G66" s="8"/>
    </row>
    <row r="67" ht="15.75" customHeight="1">
      <c r="G67" s="8"/>
    </row>
    <row r="68" ht="15.75" customHeight="1">
      <c r="G68" s="8"/>
    </row>
    <row r="69" ht="15.75" customHeight="1">
      <c r="G69" s="8"/>
    </row>
    <row r="70" ht="15.75" customHeight="1">
      <c r="G70" s="8"/>
    </row>
    <row r="71" ht="15.75" customHeight="1">
      <c r="G71" s="8"/>
    </row>
    <row r="72" ht="15.75" customHeight="1">
      <c r="G72" s="8"/>
    </row>
    <row r="73" ht="15.75" customHeight="1">
      <c r="G73" s="8"/>
    </row>
    <row r="74" ht="15.75" customHeight="1">
      <c r="G74" s="8"/>
    </row>
    <row r="75" ht="15.75" customHeight="1">
      <c r="G75" s="8"/>
    </row>
    <row r="76" ht="15.75" customHeight="1">
      <c r="G76" s="8"/>
    </row>
    <row r="77" ht="15.75" customHeight="1">
      <c r="G77" s="8"/>
    </row>
    <row r="78" ht="15.75" customHeight="1">
      <c r="G78" s="8"/>
    </row>
    <row r="79" ht="15.75" customHeight="1">
      <c r="G79" s="8"/>
    </row>
    <row r="80" ht="15.75" customHeight="1">
      <c r="G80" s="8"/>
    </row>
    <row r="81" ht="15.75" customHeight="1">
      <c r="G81" s="8"/>
    </row>
    <row r="82" ht="15.75" customHeight="1">
      <c r="G82" s="8"/>
    </row>
    <row r="83" ht="15.75" customHeight="1">
      <c r="G83" s="8"/>
    </row>
    <row r="84" ht="15.75" customHeight="1">
      <c r="G84" s="8"/>
    </row>
    <row r="85" ht="15.75" customHeight="1">
      <c r="G85" s="8"/>
    </row>
    <row r="86" ht="15.75" customHeight="1">
      <c r="G86" s="8"/>
    </row>
    <row r="87" ht="15.75" customHeight="1">
      <c r="G87" s="8"/>
    </row>
    <row r="88" ht="15.75" customHeight="1">
      <c r="G88" s="8"/>
    </row>
    <row r="89" ht="15.75" customHeight="1">
      <c r="G89" s="8"/>
    </row>
    <row r="90" ht="15.75" customHeight="1">
      <c r="G90" s="8"/>
    </row>
    <row r="91" ht="15.75" customHeight="1">
      <c r="G91" s="8"/>
    </row>
    <row r="92" ht="15.75" customHeight="1">
      <c r="G92" s="8"/>
    </row>
    <row r="93" ht="15.75" customHeight="1">
      <c r="G93" s="8"/>
    </row>
    <row r="94" ht="15.75" customHeight="1">
      <c r="G94" s="8"/>
    </row>
    <row r="95" ht="15.75" customHeight="1">
      <c r="G95" s="8"/>
    </row>
    <row r="96" ht="15.75" customHeight="1">
      <c r="G96" s="8"/>
    </row>
    <row r="97" ht="15.75" customHeight="1">
      <c r="G97" s="8"/>
    </row>
    <row r="98" ht="15.75" customHeight="1">
      <c r="G98" s="8"/>
    </row>
    <row r="99" ht="15.75" customHeight="1">
      <c r="G99" s="8"/>
    </row>
    <row r="100" ht="15.75" customHeight="1">
      <c r="G100" s="8"/>
    </row>
    <row r="101" ht="15.75" customHeight="1">
      <c r="G101" s="8"/>
    </row>
    <row r="102" ht="15.75" customHeight="1">
      <c r="G102" s="8"/>
    </row>
    <row r="103" ht="15.75" customHeight="1">
      <c r="G103" s="8"/>
    </row>
    <row r="104" ht="15.75" customHeight="1">
      <c r="G104" s="8"/>
    </row>
    <row r="105" ht="15.75" customHeight="1">
      <c r="G105" s="8"/>
    </row>
    <row r="106" ht="15.75" customHeight="1">
      <c r="G106" s="8"/>
    </row>
    <row r="107" ht="15.75" customHeight="1">
      <c r="G107" s="8"/>
    </row>
    <row r="108" ht="15.75" customHeight="1">
      <c r="G108" s="8"/>
    </row>
    <row r="109" ht="15.75" customHeight="1">
      <c r="G109" s="8"/>
    </row>
    <row r="110" ht="15.75" customHeight="1">
      <c r="G110" s="8"/>
    </row>
    <row r="111" ht="15.75" customHeight="1">
      <c r="G111" s="8"/>
    </row>
    <row r="112" ht="15.75" customHeight="1">
      <c r="G112" s="8"/>
    </row>
    <row r="113" ht="15.75" customHeight="1">
      <c r="G113" s="8"/>
    </row>
    <row r="114" ht="15.75" customHeight="1">
      <c r="G114" s="8"/>
    </row>
    <row r="115" ht="15.75" customHeight="1">
      <c r="G115" s="8"/>
    </row>
    <row r="116" ht="15.75" customHeight="1">
      <c r="G116" s="8"/>
    </row>
    <row r="117" ht="15.75" customHeight="1">
      <c r="G117" s="8"/>
    </row>
    <row r="118" ht="15.75" customHeight="1">
      <c r="G118" s="8"/>
    </row>
    <row r="119" ht="15.75" customHeight="1">
      <c r="G119" s="8"/>
    </row>
    <row r="120" ht="15.75" customHeight="1">
      <c r="G120" s="8"/>
    </row>
    <row r="121" ht="15.75" customHeight="1">
      <c r="G121" s="8"/>
    </row>
    <row r="122" ht="15.75" customHeight="1">
      <c r="G122" s="8"/>
    </row>
    <row r="123" ht="15.75" customHeight="1">
      <c r="G123" s="8"/>
    </row>
    <row r="124" ht="15.75" customHeight="1">
      <c r="G124" s="8"/>
    </row>
    <row r="125" ht="15.75" customHeight="1">
      <c r="G125" s="8"/>
    </row>
    <row r="126" ht="15.75" customHeight="1">
      <c r="G126" s="8"/>
    </row>
    <row r="127" ht="15.75" customHeight="1">
      <c r="G127" s="8"/>
    </row>
    <row r="128" ht="15.75" customHeight="1">
      <c r="G128" s="8"/>
    </row>
    <row r="129" ht="15.75" customHeight="1">
      <c r="G129" s="8"/>
    </row>
    <row r="130" ht="15.75" customHeight="1">
      <c r="G130" s="8"/>
    </row>
    <row r="131" ht="15.75" customHeight="1">
      <c r="G131" s="8"/>
    </row>
    <row r="132" ht="15.75" customHeight="1">
      <c r="G132" s="8"/>
    </row>
    <row r="133" ht="15.75" customHeight="1">
      <c r="G133" s="8"/>
    </row>
    <row r="134" ht="15.75" customHeight="1">
      <c r="G134" s="8"/>
    </row>
    <row r="135" ht="15.75" customHeight="1">
      <c r="G135" s="8"/>
    </row>
    <row r="136" ht="15.75" customHeight="1">
      <c r="G136" s="8"/>
    </row>
    <row r="137" ht="15.75" customHeight="1">
      <c r="G137" s="8"/>
    </row>
    <row r="138" ht="15.75" customHeight="1">
      <c r="G138" s="8"/>
    </row>
    <row r="139" ht="15.75" customHeight="1">
      <c r="G139" s="8"/>
    </row>
    <row r="140" ht="15.75" customHeight="1">
      <c r="G140" s="8"/>
    </row>
    <row r="141" ht="15.75" customHeight="1">
      <c r="G141" s="8"/>
    </row>
    <row r="142" ht="15.75" customHeight="1">
      <c r="G142" s="8"/>
    </row>
    <row r="143" ht="15.75" customHeight="1">
      <c r="G143" s="8"/>
    </row>
    <row r="144" ht="15.75" customHeight="1">
      <c r="G144" s="8"/>
    </row>
    <row r="145" ht="15.75" customHeight="1">
      <c r="G145" s="8"/>
    </row>
    <row r="146" ht="15.75" customHeight="1">
      <c r="G146" s="8"/>
    </row>
    <row r="147" ht="15.75" customHeight="1">
      <c r="G147" s="8"/>
    </row>
    <row r="148" ht="15.75" customHeight="1">
      <c r="G148" s="8"/>
    </row>
    <row r="149" ht="15.75" customHeight="1">
      <c r="G149" s="8"/>
    </row>
    <row r="150" ht="15.75" customHeight="1">
      <c r="G150" s="8"/>
    </row>
    <row r="151" ht="15.75" customHeight="1">
      <c r="G151" s="8"/>
    </row>
    <row r="152" ht="15.75" customHeight="1">
      <c r="G152" s="8"/>
    </row>
    <row r="153" ht="15.75" customHeight="1">
      <c r="G153" s="8"/>
    </row>
    <row r="154" ht="15.75" customHeight="1">
      <c r="G154" s="8"/>
    </row>
    <row r="155" ht="15.75" customHeight="1">
      <c r="G155" s="8"/>
    </row>
    <row r="156" ht="15.75" customHeight="1">
      <c r="G156" s="8"/>
    </row>
    <row r="157" ht="15.75" customHeight="1">
      <c r="G157" s="8"/>
    </row>
    <row r="158" ht="15.75" customHeight="1">
      <c r="G158" s="8"/>
    </row>
    <row r="159" ht="15.75" customHeight="1">
      <c r="G159" s="8"/>
    </row>
    <row r="160" ht="15.75" customHeight="1">
      <c r="G160" s="8"/>
    </row>
    <row r="161" ht="15.75" customHeight="1">
      <c r="G161" s="8"/>
    </row>
    <row r="162" ht="15.75" customHeight="1">
      <c r="G162" s="8"/>
    </row>
    <row r="163" ht="15.75" customHeight="1">
      <c r="G163" s="8"/>
    </row>
    <row r="164" ht="15.75" customHeight="1">
      <c r="G164" s="8"/>
    </row>
    <row r="165" ht="15.75" customHeight="1">
      <c r="G165" s="8"/>
    </row>
    <row r="166" ht="15.75" customHeight="1">
      <c r="G166" s="8"/>
    </row>
    <row r="167" ht="15.75" customHeight="1">
      <c r="G167" s="8"/>
    </row>
    <row r="168" ht="15.75" customHeight="1">
      <c r="G168" s="8"/>
    </row>
    <row r="169" ht="15.75" customHeight="1">
      <c r="G169" s="8"/>
    </row>
    <row r="170" ht="15.75" customHeight="1">
      <c r="G170" s="8"/>
    </row>
    <row r="171" ht="15.75" customHeight="1">
      <c r="G171" s="8"/>
    </row>
    <row r="172" ht="15.75" customHeight="1">
      <c r="G172" s="8"/>
    </row>
    <row r="173" ht="15.75" customHeight="1">
      <c r="G173" s="8"/>
    </row>
    <row r="174" ht="15.75" customHeight="1">
      <c r="G174" s="8"/>
    </row>
    <row r="175" ht="15.75" customHeight="1">
      <c r="G175" s="8"/>
    </row>
    <row r="176" ht="15.75" customHeight="1">
      <c r="G176" s="8"/>
    </row>
    <row r="177" ht="15.75" customHeight="1">
      <c r="G177" s="8"/>
    </row>
    <row r="178" ht="15.75" customHeight="1">
      <c r="G178" s="8"/>
    </row>
    <row r="179" ht="15.75" customHeight="1">
      <c r="G179" s="8"/>
    </row>
    <row r="180" ht="15.75" customHeight="1">
      <c r="G180" s="8"/>
    </row>
    <row r="181" ht="15.75" customHeight="1">
      <c r="G181" s="8"/>
    </row>
    <row r="182" ht="15.75" customHeight="1">
      <c r="G182" s="8"/>
    </row>
    <row r="183" ht="15.75" customHeight="1">
      <c r="G183" s="8"/>
    </row>
    <row r="184" ht="15.75" customHeight="1">
      <c r="G184" s="8"/>
    </row>
    <row r="185" ht="15.75" customHeight="1">
      <c r="G185" s="8"/>
    </row>
    <row r="186" ht="15.75" customHeight="1">
      <c r="G186" s="8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53:P53">
    <cfRule type="colorScale" priority="1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54:P54">
    <cfRule type="colorScale" priority="2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12:G17">
    <cfRule type="colorScale" priority="3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12:G17">
    <cfRule type="colorScale" priority="4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12:G17">
    <cfRule type="colorScale" priority="5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25:G30">
    <cfRule type="colorScale" priority="6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25:G30">
    <cfRule type="colorScale" priority="7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25:G30">
    <cfRule type="colorScale" priority="8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38:G43">
    <cfRule type="colorScale" priority="9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38:G43">
    <cfRule type="colorScale" priority="10">
      <colorScale>
        <cfvo type="min"/>
        <cfvo type="percentile" val="50"/>
        <cfvo type="max"/>
        <color rgb="FFFFD88B"/>
        <color rgb="FFFFB84F"/>
        <color rgb="FFFF9900"/>
      </colorScale>
    </cfRule>
  </conditionalFormatting>
  <conditionalFormatting sqref="D38:G43">
    <cfRule type="colorScale" priority="11">
      <colorScale>
        <cfvo type="min"/>
        <cfvo type="percentile" val="50"/>
        <cfvo type="max"/>
        <color rgb="FFFFD88B"/>
        <color rgb="FFFFB84F"/>
        <color rgb="FFFF9900"/>
      </colorScale>
    </cfRule>
  </conditionalFormatting>
  <printOptions/>
  <pageMargins bottom="0.75" footer="0.0" header="0.0" left="0.7" right="0.7" top="0.75"/>
  <pageSetup scale="91" orientation="portrait"/>
  <headerFooter>
    <oddHeader>&amp;LAtliq Hardwares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2025-09-20T03:45:42Z</dcterms:created>
  <dc:creator>adarsh yadav</dc:creator>
</cp:coreProperties>
</file>